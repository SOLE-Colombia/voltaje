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tions_db" sheetId="1" r:id="rId5"/>
    <sheet state="visible" name="inspirations_db" sheetId="2" r:id="rId6"/>
    <sheet state="visible" name="concepts_db" sheetId="3" r:id="rId7"/>
    <sheet state="visible" name="disconnected_db" sheetId="4" r:id="rId8"/>
    <sheet state="visible" name="home" sheetId="5" r:id="rId9"/>
  </sheets>
  <definedNames>
    <definedName hidden="1" localSheetId="0" name="_xlnm._FilterDatabase">solutions_db!$A$1:$AB$58</definedName>
  </definedNames>
  <calcPr/>
</workbook>
</file>

<file path=xl/sharedStrings.xml><?xml version="1.0" encoding="utf-8"?>
<sst xmlns="http://schemas.openxmlformats.org/spreadsheetml/2006/main" count="2038" uniqueCount="872">
  <si>
    <t>id</t>
  </si>
  <si>
    <t>nombre</t>
  </si>
  <si>
    <t>encabezado</t>
  </si>
  <si>
    <t>name</t>
  </si>
  <si>
    <t>tipo</t>
  </si>
  <si>
    <t>estado</t>
  </si>
  <si>
    <t>autor</t>
  </si>
  <si>
    <t>responsable</t>
  </si>
  <si>
    <t>tags</t>
  </si>
  <si>
    <t>ayudantes</t>
  </si>
  <si>
    <t>costo</t>
  </si>
  <si>
    <t>dificultad</t>
  </si>
  <si>
    <t>tarda</t>
  </si>
  <si>
    <t>permite</t>
  </si>
  <si>
    <t>notas de forma</t>
  </si>
  <si>
    <t>notas de contenido</t>
  </si>
  <si>
    <t>Link estatico</t>
  </si>
  <si>
    <t>impacto/sostenibilidad</t>
  </si>
  <si>
    <t>impacto/personas</t>
  </si>
  <si>
    <t>pilar/dispositivos</t>
  </si>
  <si>
    <t>pilar/electricidad</t>
  </si>
  <si>
    <t>pilar/espacio</t>
  </si>
  <si>
    <t>pilar/personas</t>
  </si>
  <si>
    <t>pilar/senal</t>
  </si>
  <si>
    <t>recursos/dificultad</t>
  </si>
  <si>
    <t>recursos/dinero</t>
  </si>
  <si>
    <t>recursos/personas</t>
  </si>
  <si>
    <t>recursos/tiempo</t>
  </si>
  <si>
    <t>solv-agree-with-neighbors</t>
  </si>
  <si>
    <t>¿Cómo acordar con un vecino?</t>
  </si>
  <si>
    <t>Solución</t>
  </si>
  <si>
    <t>Por hacer</t>
  </si>
  <si>
    <t>SOLE Colombia</t>
  </si>
  <si>
    <t>Sanjay</t>
  </si>
  <si>
    <t>Personas, Señal</t>
  </si>
  <si>
    <t>solv-ally-with-places</t>
  </si>
  <si>
    <t>¿Cómo aliarse con otros que apoyen tu convocatoria?</t>
  </si>
  <si>
    <t>Otros actores pueden hacer que tu mensaje llegue más lejos.</t>
  </si>
  <si>
    <t>How to ally with places that summon?</t>
  </si>
  <si>
    <t>Publicado</t>
  </si>
  <si>
    <t>Belén</t>
  </si>
  <si>
    <t>Personas</t>
  </si>
  <si>
    <t>Sin ayudantes</t>
  </si>
  <si>
    <t>&lt; USD 25</t>
  </si>
  <si>
    <t>Media</t>
  </si>
  <si>
    <t>Días</t>
  </si>
  <si>
    <t>Compartir, Conseguir</t>
  </si>
  <si>
    <t>Agregué “-”</t>
  </si>
  <si>
    <t>solv-bandwidth</t>
  </si>
  <si>
    <t xml:space="preserve">¿Cómo aprovechar mi ancho de banda? </t>
  </si>
  <si>
    <t>Prácticas que te permitirán optimizar tu conexión.</t>
  </si>
  <si>
    <t>How make better use of my bandwidth?</t>
  </si>
  <si>
    <t>Manuela</t>
  </si>
  <si>
    <t>Señal</t>
  </si>
  <si>
    <t>2-3 ayudantes</t>
  </si>
  <si>
    <t>Gratis</t>
  </si>
  <si>
    <t>Horas</t>
  </si>
  <si>
    <t>Mejorar</t>
  </si>
  <si>
    <t>redimensionar a 800w</t>
  </si>
  <si>
    <t>0: Se mantiene solo</t>
  </si>
  <si>
    <t>0: No aporta a equipos</t>
  </si>
  <si>
    <t>No consigues electricidad</t>
  </si>
  <si>
    <t>0: No aporta a tener un espacio público</t>
  </si>
  <si>
    <t>0: No aporta a reunir personas</t>
  </si>
  <si>
    <t>3: Aporta señal permanente (Antena comercial instalada)</t>
  </si>
  <si>
    <t>0: Sin dinero</t>
  </si>
  <si>
    <t>1: Una persona</t>
  </si>
  <si>
    <t>1: Horas</t>
  </si>
  <si>
    <t>solv-bicigenerator</t>
  </si>
  <si>
    <t>¿Cómo generar electricidad usando una bicicleta?</t>
  </si>
  <si>
    <t>Consigue electricidad construyendo un bicigenerador.</t>
  </si>
  <si>
    <t>Bicigenerator</t>
  </si>
  <si>
    <t>Nicolás</t>
  </si>
  <si>
    <t>Electricidad</t>
  </si>
  <si>
    <t>&gt; USD 50</t>
  </si>
  <si>
    <t>Complejo</t>
  </si>
  <si>
    <t>Conseguir</t>
  </si>
  <si>
    <t>3: Alto</t>
  </si>
  <si>
    <t>Electricidad intermitente (Panel solar pelton)</t>
  </si>
  <si>
    <t>1: Aporta a que haya una comunidad esporádica que se reune periódicamente (Entre 6  a 12 personas)</t>
  </si>
  <si>
    <t>0: No aporta señal</t>
  </si>
  <si>
    <t>4: Gasto mensual</t>
  </si>
  <si>
    <t>2: Entre 2 y 3 personas</t>
  </si>
  <si>
    <t>3: Semanas</t>
  </si>
  <si>
    <t>solv-build-3Gantenna</t>
  </si>
  <si>
    <t xml:space="preserve">Construye una antena 3G casera </t>
  </si>
  <si>
    <t>Captura señal con una antena hecha en casa.</t>
  </si>
  <si>
    <t>Build a homemade 3G antenna</t>
  </si>
  <si>
    <t>1 ayudante</t>
  </si>
  <si>
    <t>Mejorar, Conseguir</t>
  </si>
  <si>
    <t>la imagen 11 sólo está en 400w, hay que redimensionarla</t>
  </si>
  <si>
    <t>solv-buy-cellphone</t>
  </si>
  <si>
    <t xml:space="preserve">¿Cómo comprar un celular adecuado para mí? </t>
  </si>
  <si>
    <t>Un celular que se ajuste a tus capacidades y necesidades.</t>
  </si>
  <si>
    <t>How to buy a suitable cell phone for me?</t>
  </si>
  <si>
    <t>Dispositivos</t>
  </si>
  <si>
    <t>Fácil</t>
  </si>
  <si>
    <t>hay algunas imágenes que hay que redimensionar dentro de esta carpeta</t>
  </si>
  <si>
    <t>1: Bajo</t>
  </si>
  <si>
    <t>1: Aporta para tener dispositivos unipersonales (Celulares)</t>
  </si>
  <si>
    <t>3: $ 200 COP &gt;</t>
  </si>
  <si>
    <t>0: Nadie</t>
  </si>
  <si>
    <t>solv-buy-computer</t>
  </si>
  <si>
    <t xml:space="preserve">¿Cómo comprar un computador? </t>
  </si>
  <si>
    <t>El mejor computador que se ajuste nuestra capacidad y necesidades.</t>
  </si>
  <si>
    <t>How to buy a computer for yourself?</t>
  </si>
  <si>
    <t>2: Aporta a que haya algunos dispositivos para compartir con ciertas restricciones (Uso con restricción de tiempo o de uso)</t>
  </si>
  <si>
    <t>1: Necesitas habilidades nuevas en un lenguaje que ya maneja (comprar un plan de internet)</t>
  </si>
  <si>
    <t>0: Minutos</t>
  </si>
  <si>
    <t>solv-buy-phone-plan</t>
  </si>
  <si>
    <t xml:space="preserve">¿Cómo comprar un plan celular adecuado para mí? </t>
  </si>
  <si>
    <t>Un plan de celular que se ajuste a tus capacidades y necesidades.</t>
  </si>
  <si>
    <t>How to buy a suitable cellular plan for me?</t>
  </si>
  <si>
    <t>Dispositivos, Señal</t>
  </si>
  <si>
    <t>Minutos</t>
  </si>
  <si>
    <t>hay algunas imágenes que hay que redimensionar a 800w</t>
  </si>
  <si>
    <t>solv-buy-satellite-antenna</t>
  </si>
  <si>
    <t xml:space="preserve">¿Cómo comprar una antena satelital? </t>
  </si>
  <si>
    <t>Escoge un servicio de internet para lugares con cero conexión.</t>
  </si>
  <si>
    <t>How to buy a satellite antenna?</t>
  </si>
  <si>
    <t>Más de 3 ayudantes</t>
  </si>
  <si>
    <t>1: Aporta a que haya un espacio o espacios de uso temporal no necesariamente públicos</t>
  </si>
  <si>
    <t>0: No necesita habilidades nuevas solo seguir instrucciones (reiniciar un módem)</t>
  </si>
  <si>
    <t>1: &gt; $ 100.COP</t>
  </si>
  <si>
    <t>solv-choose-satellite-internet</t>
  </si>
  <si>
    <t xml:space="preserve">¿Qué Internet satelital elegir según mis necesidades?  </t>
  </si>
  <si>
    <t>Invierte bien tu dinero para instalar internet satelital.</t>
  </si>
  <si>
    <t>Which satellite Internet to choose</t>
  </si>
  <si>
    <t>redimensionar imágenes (son de 400w)</t>
  </si>
  <si>
    <t>solv-community-meeting-space</t>
  </si>
  <si>
    <t>¿Cómo conseguir un salón comunal o cualquier espacio comunitario para usar el internet en grupo?</t>
  </si>
  <si>
    <t>¡Los espacios públicos son de todos!</t>
  </si>
  <si>
    <t>Request a Community Room</t>
  </si>
  <si>
    <t>Espacio</t>
  </si>
  <si>
    <t>communityspace &gt; community-meeting-space</t>
  </si>
  <si>
    <t>solv-create-mail-account</t>
  </si>
  <si>
    <t>¿Cómo crear una dirección de correo electrónico?</t>
  </si>
  <si>
    <t>Uno de los requerimientos básicos hoy en el mundo digital.</t>
  </si>
  <si>
    <t>Catalina</t>
  </si>
  <si>
    <t>solv-create-poweful-message</t>
  </si>
  <si>
    <t>¿Cómo movilizar a otros con tu causa?</t>
  </si>
  <si>
    <t>Crea un mensaje potente para que los demás conecten con tu propósito.</t>
  </si>
  <si>
    <t>Create a powerful message</t>
  </si>
  <si>
    <t>Personas, Espacio</t>
  </si>
  <si>
    <t>Los videos no funcionan</t>
  </si>
  <si>
    <t>solv-disconnected</t>
  </si>
  <si>
    <t>El Desconectado</t>
  </si>
  <si>
    <t>Señal, Personas, Electricidad, Dispositivos, Espacio</t>
  </si>
  <si>
    <t>solv-discover-audience</t>
  </si>
  <si>
    <t>¿Cómo llegarle a las personas que más valorarán tu mensaje?</t>
  </si>
  <si>
    <t>Descubre quién es tu audiencia.</t>
  </si>
  <si>
    <t>Discover your audience</t>
  </si>
  <si>
    <t>3: Aporta a que haya una comunidad organizada con varios líderes</t>
  </si>
  <si>
    <t>1: Aporta solución de contenidos más no conectividad</t>
  </si>
  <si>
    <t>solv-donated-equipment</t>
  </si>
  <si>
    <t xml:space="preserve">¿Cómo conseguir equipos donados? </t>
  </si>
  <si>
    <t>Darle un segundo uso a equipos que de otra manera serían descartados.</t>
  </si>
  <si>
    <t>How to get donated equipment?</t>
  </si>
  <si>
    <t>Mateo</t>
  </si>
  <si>
    <t>Dispositivos, Personas</t>
  </si>
  <si>
    <t>solv-endless</t>
  </si>
  <si>
    <t>Un pedazo de Internet en computadores sin conexión</t>
  </si>
  <si>
    <t>Instala 'Endless OS' en computadores sin conexión.</t>
  </si>
  <si>
    <t>Modificar</t>
  </si>
  <si>
    <t>David</t>
  </si>
  <si>
    <t>Mejorar, Compartir</t>
  </si>
  <si>
    <t>solv-express-invite</t>
  </si>
  <si>
    <t xml:space="preserve">¡Aprende a diseñar una invitación exprés sin ser un experto! </t>
  </si>
  <si>
    <t>Las invitaciones son clave para convocar personas.</t>
  </si>
  <si>
    <t>Learn how to design your express invitation without being an expert!</t>
  </si>
  <si>
    <t>casi todas las imágenes de esta carpeta están en 400w, hay que redimensionarlas</t>
  </si>
  <si>
    <t>solv-financial-support-connect</t>
  </si>
  <si>
    <t xml:space="preserve">¿Tu comunidad necesita apoyo económico para conectarse a Internet?  </t>
  </si>
  <si>
    <t>Algunas organizaciones que apoyan el internet a bajo costo.</t>
  </si>
  <si>
    <t xml:space="preserve">Does your community need financial support to connect to the Internet? </t>
  </si>
  <si>
    <t>USD 25 - 50</t>
  </si>
  <si>
    <t>solv-find-wifi-app</t>
  </si>
  <si>
    <t>¿Qué redes WiFi están libres y disponibles para conectarme a internet?</t>
  </si>
  <si>
    <t xml:space="preserve">Busca señales de WiFi a tu alrededor con una aplicación móvil </t>
  </si>
  <si>
    <t>Search for WiFi signals around you with a mobile app</t>
  </si>
  <si>
    <t>Conseguir, Mejorar</t>
  </si>
  <si>
    <t>hay imágenes por redimensionar a 800w</t>
  </si>
  <si>
    <t>solv-fish-game</t>
  </si>
  <si>
    <t xml:space="preserve">¿Cómo usar el juego para aprender a cuidar equipos en comunidad? </t>
  </si>
  <si>
    <t>Una solución de gobernanza para manejar los recursos comunes.</t>
  </si>
  <si>
    <t>How to use the game to learn how to take care of equipment in community?</t>
  </si>
  <si>
    <t>Compartir</t>
  </si>
  <si>
    <t>solv-funding-community-internet</t>
  </si>
  <si>
    <t>¿Cómo recolectar recursos económicos en comunidad?</t>
  </si>
  <si>
    <t>Haz una colecta para pagar internet comunitario.</t>
  </si>
  <si>
    <t>Look for funding to pay for community internet</t>
  </si>
  <si>
    <t>Gasto mensual</t>
  </si>
  <si>
    <t>0: Se mantiene solo, 2: Medio</t>
  </si>
  <si>
    <t>3: Más de 3 personas</t>
  </si>
  <si>
    <t>solv-improve-signal-can</t>
  </si>
  <si>
    <t xml:space="preserve">¿Cómo mejorar mi señal móvil con una lata? </t>
  </si>
  <si>
    <t>Haz una pequeña antena para tu celular.</t>
  </si>
  <si>
    <t>How to improve my signal with a can?</t>
  </si>
  <si>
    <t>improvewithcan &gt; improve-signal-can</t>
  </si>
  <si>
    <t>Ajustar imágenes que están volteadas</t>
  </si>
  <si>
    <t>solv-improve-signal-router</t>
  </si>
  <si>
    <t xml:space="preserve">¿Cómo mejorar la señal de tu módem? </t>
  </si>
  <si>
    <t>Algunos consejos para sacarle el mayor provecho a tu módem.</t>
  </si>
  <si>
    <t>How to improve your router signal?</t>
  </si>
  <si>
    <t>improverouter &gt; improve-signal-router</t>
  </si>
  <si>
    <t>solv-install-3G-antenna</t>
  </si>
  <si>
    <t xml:space="preserve">¿Cómo instalar mi antena 3/4G? </t>
  </si>
  <si>
    <t>Instalar una antena, para tener Internet en un espacio fijo.</t>
  </si>
  <si>
    <t>How to install my 3/4G antenna?</t>
  </si>
  <si>
    <t>2: Medio</t>
  </si>
  <si>
    <t>2: Necesita estar inmerso en un lenguaje nuevo y seguir pocas instrucciones sencillas (Instalar una app y aprender a usarla)</t>
  </si>
  <si>
    <t>solv-internet-quality-diagnosis</t>
  </si>
  <si>
    <t xml:space="preserve">¿Cómo saber qué tan buena es tu señal móvil sin una prueba de velocidad? </t>
  </si>
  <si>
    <t>Tipos de señal y formas de reconocer qué tan buena es tu señal.</t>
  </si>
  <si>
    <t>How do you know how good your Internet connection is?</t>
  </si>
  <si>
    <t>Medir</t>
  </si>
  <si>
    <t>Se parece un poco a la de velocidad. Toca diferenciarlas mejor.</t>
  </si>
  <si>
    <t>solv-internet-speedtest</t>
  </si>
  <si>
    <t xml:space="preserve">¿Cómo saber la velocidad de tu conexión a Internet? </t>
  </si>
  <si>
    <t>Realiza una prueba de velocidad de tu internet.</t>
  </si>
  <si>
    <t>How to test the speed of your Internet connection?</t>
  </si>
  <si>
    <t>speedtest &gt; internet-speedtest</t>
  </si>
  <si>
    <t>Verifica la calidad de tu conexión</t>
  </si>
  <si>
    <t>solv-jangala-install-box</t>
  </si>
  <si>
    <t>¿Cómo instalar mi Bog Box de Jangala?</t>
  </si>
  <si>
    <t>Paso a paso para tener internet con una caja.</t>
  </si>
  <si>
    <t>Ampliar</t>
  </si>
  <si>
    <t>Conseguir, Compartir, Mejorar</t>
  </si>
  <si>
    <t>solv-jangala-internet-box</t>
  </si>
  <si>
    <t>El internet en una caja: Big Box de Jangala</t>
  </si>
  <si>
    <t xml:space="preserve">Gestiona y configura un potente router de internet inalámbrico. </t>
  </si>
  <si>
    <t>Jangala's Big Box: Manages a powerful wireless internet router for digitally excluded communities</t>
  </si>
  <si>
    <t>Conseguir, Mejorar, Compartir</t>
  </si>
  <si>
    <t>Incluir vínculo a inspiración de comunidad con Jangala.</t>
  </si>
  <si>
    <t>solv-know-wifi-passwords</t>
  </si>
  <si>
    <t xml:space="preserve">¿Cómo saber las contraseñas WiFi de mi celular? </t>
  </si>
  <si>
    <t>Encuentra (y comparte) las contraseñas que se guardan en tu celular.</t>
  </si>
  <si>
    <t>How to know the WiFi passwords of my cell phone?</t>
  </si>
  <si>
    <t>2: Aporta señal intermitente (Antena casera)</t>
  </si>
  <si>
    <t>solv-need-3Gantenna</t>
  </si>
  <si>
    <t>¿Necesito comprar una antena 3G/4G?</t>
  </si>
  <si>
    <t>Descubre la antena que más te conviene.</t>
  </si>
  <si>
    <t>Do I need to buy a 3G/4G antenna? How to make the decision</t>
  </si>
  <si>
    <t>need-3g-antenna &gt; need-3Gantenna</t>
  </si>
  <si>
    <t>3: Aporta a que haya un espacio permanente dedicado (SOLE Lab Aula digital)</t>
  </si>
  <si>
    <t>2: Días</t>
  </si>
  <si>
    <t>solv-organize-space</t>
  </si>
  <si>
    <t>¿Cómo adecuar un espacio para usar el Internet en grupo?</t>
  </si>
  <si>
    <t>Cómo se ve y se siente un espacio es clave para conectarnos.</t>
  </si>
  <si>
    <t>Por revisar</t>
  </si>
  <si>
    <t>Cómo organizar el espacio para hacer un SOLE. Quizás también tips sobre traer corriente con multitomas, y conectar con otras soluciones de señal, hacer un SOLE. Capítulo organiza del manual. Categoría: itinerante</t>
  </si>
  <si>
    <t>solv-play-learn-internet</t>
  </si>
  <si>
    <t>La Cacharrería</t>
  </si>
  <si>
    <t>Aprende cómo funciona el internet jugando</t>
  </si>
  <si>
    <t>Personas, Señal, Electricidad, Dispositivos, Espacio</t>
  </si>
  <si>
    <t>solv-pocket-wikipedia</t>
  </si>
  <si>
    <t>¿Cómo tener acceso a una enciclopedia sin tener internet?</t>
  </si>
  <si>
    <t>Instala Kiwix, una Wikipedia de bolsillo en tu RaspberryPi.</t>
  </si>
  <si>
    <t>A pocket Wikipedia in your RaspberryPi</t>
  </si>
  <si>
    <t>no puedo encontrar a qué solución pertenecen las imágenes de uno de los assets - creo que pueden haberse generado dos carpetas de imágenes pero son la misma solución</t>
  </si>
  <si>
    <t>solv-powerbank</t>
  </si>
  <si>
    <t>Powerbanks</t>
  </si>
  <si>
    <t>solv-purchase-temp-satellite</t>
  </si>
  <si>
    <t>¿Cómo comprar una conexión temporal a internet satelital?</t>
  </si>
  <si>
    <t>Un código o PIN para acceder a internet satelital.</t>
  </si>
  <si>
    <t xml:space="preserve">How to purchase a temporary satellite Internet connection </t>
  </si>
  <si>
    <t>solv-radio-link-antenna</t>
  </si>
  <si>
    <t>solv-raspberrypi-pocket-internet</t>
  </si>
  <si>
    <t>¿Cómo instalar un servidor web en un computador de bolsillo?</t>
  </si>
  <si>
    <t>Raspberry Pi: Una pequeña Internet de bolsillo.</t>
  </si>
  <si>
    <t>Raspberry Pi: A small pocket-sized Internet</t>
  </si>
  <si>
    <t>Gabriel</t>
  </si>
  <si>
    <t>solv-share-computers</t>
  </si>
  <si>
    <t xml:space="preserve">¿Cómo compartir los computadores disponibles? </t>
  </si>
  <si>
    <t>Descubre lo potente que es usar el Internet en grupo.</t>
  </si>
  <si>
    <t>How to share available computers?</t>
  </si>
  <si>
    <t>3: Aporta a que haya suficientes dispositivos para compartir con restricción mínima  (3 computadores min)</t>
  </si>
  <si>
    <t>solv-share-internet-cellphone</t>
  </si>
  <si>
    <t xml:space="preserve">¿Cómo compartir Internet desde tu celular? </t>
  </si>
  <si>
    <t>Configura y comparte el internet de tu teléfono con otros.</t>
  </si>
  <si>
    <t>How to share Internet from my cell phone?</t>
  </si>
  <si>
    <t>Muy fácil</t>
  </si>
  <si>
    <t>share-fromcellphone &gt; share-internet-cellphone</t>
  </si>
  <si>
    <t>solv-share-internet-computer</t>
  </si>
  <si>
    <t>¿Cómo compartir Internet desde tu computador?</t>
  </si>
  <si>
    <t>Convierte tu computador en un router de Internet.</t>
  </si>
  <si>
    <t>solv-share-internet-wirelessly</t>
  </si>
  <si>
    <t>¿Quieres compartir tu internet sin cables?</t>
  </si>
  <si>
    <t>Configura tu Raspberry Pi.</t>
  </si>
  <si>
    <t xml:space="preserve">Do you want to share your internet wirelessly? Configure your Raspberry Pi </t>
  </si>
  <si>
    <t>raspberrypi-configure &gt; share-internet-wirelessly</t>
  </si>
  <si>
    <t>Explicar mejor cuál es la finalidad de tener esta solución. Lo que hablamos en la reunión sobre que uno puede ponerle endless al raspberry.</t>
  </si>
  <si>
    <t>solv-spread-message</t>
  </si>
  <si>
    <t>¿Cómo difundir un mensaje?</t>
  </si>
  <si>
    <t xml:space="preserve">Llega al corazón de las personas </t>
  </si>
  <si>
    <t xml:space="preserve">Spread your message </t>
  </si>
  <si>
    <t>solv-tricks-mobile-signal</t>
  </si>
  <si>
    <t>3 trucos para mejorar tu señal móvil</t>
  </si>
  <si>
    <t>Con algunos ajustes, puedes aumentar la potencia de la señal.</t>
  </si>
  <si>
    <t>How to amplify your mobile signal inside a place?</t>
  </si>
  <si>
    <t>2: $ 100-200  COP</t>
  </si>
  <si>
    <t>solv-type-internet-signal</t>
  </si>
  <si>
    <t xml:space="preserve">¿Cómo saber qué tipo de señal WiFi tienes? </t>
  </si>
  <si>
    <t>Conoce cómo llega el internet a tu dispositivo.</t>
  </si>
  <si>
    <t>How to know what kind of Internet signal you have?</t>
  </si>
  <si>
    <t>solv-write-invitation</t>
  </si>
  <si>
    <t xml:space="preserve">¿Cómo escribir una invitación que convoque? </t>
  </si>
  <si>
    <t>Atrae la atención de las personas que necesitas.</t>
  </si>
  <si>
    <t>How to write a good invitation</t>
  </si>
  <si>
    <t>¿Cómo identificar espacios para usar el Internet en grupo?</t>
  </si>
  <si>
    <t>Conexión con solv-meeting-space</t>
  </si>
  <si>
    <t>Identificar espacios tipo la bilioteca que queda cerca, la tienda que convoca y tiene espacio para poner computadores ocn internet en grupo, colegio, etc. Espacios que ya tienen internet. Categoría: temporal. Aporta a tener espacios temporales no necesariamente públicos.</t>
  </si>
  <si>
    <t>¿Cómo nos turnamos los espacios para usar el Internet en grupo?</t>
  </si>
  <si>
    <t>Agendamiento de los espacios + kit para llevar las cosas.</t>
  </si>
  <si>
    <t>solv-usb-internet-router</t>
  </si>
  <si>
    <t>¿Cómo tener Internet con una USB?</t>
  </si>
  <si>
    <t>Comprar un módem USB</t>
  </si>
  <si>
    <t>Señal, Dispositivos</t>
  </si>
  <si>
    <t>Hay que volver más solución de decisión.</t>
  </si>
  <si>
    <t>solv-find-allied-spaces</t>
  </si>
  <si>
    <t>¿Cómo conseguir espacios con la ayuda de aliados?</t>
  </si>
  <si>
    <t>Conectar con instituciones, ONGs u otros que tienen capacidad de gestión de espacios.</t>
  </si>
  <si>
    <t>Semanas</t>
  </si>
  <si>
    <t>Faltan foticos</t>
  </si>
  <si>
    <t>solv-wiki-phone</t>
  </si>
  <si>
    <t>¿Cómo descargar una enciclopedia en tu celular?</t>
  </si>
  <si>
    <t>La Wikipedia en tu bolsillo para usar en lugares sin señal.</t>
  </si>
  <si>
    <t>solv-save-data-phone</t>
  </si>
  <si>
    <t>¿Cómo aprovechar lo mejor posible mi plan de celular?</t>
  </si>
  <si>
    <t>Toma el control de tu conexión para que el Internet te alcance para lo importante.</t>
  </si>
  <si>
    <t>Mejorar, Medir</t>
  </si>
  <si>
    <t>solv-microwave</t>
  </si>
  <si>
    <t>videos</t>
  </si>
  <si>
    <t>video comp 1</t>
  </si>
  <si>
    <t>video comp 2</t>
  </si>
  <si>
    <t>Columna 1</t>
  </si>
  <si>
    <t>Columna 2</t>
  </si>
  <si>
    <t>insp-are-you-tinkerer</t>
  </si>
  <si>
    <t>¿Tus papás, abuelos/as o amigos te llaman para que les ayudes a resolver algo con el computador?</t>
  </si>
  <si>
    <t>Inspiración</t>
  </si>
  <si>
    <t>Vamos a romper, Te ha pasado</t>
  </si>
  <si>
    <t>insp-big-questions</t>
  </si>
  <si>
    <t xml:space="preserve">Todo comienza con una Gran Pregunta </t>
  </si>
  <si>
    <t>It all starts with a Big Question</t>
  </si>
  <si>
    <t>De Voltaje a SOLE</t>
  </si>
  <si>
    <t>Ajustar porque en Markdown las personas no van a poder publicar su gran pregunta. Serviría tener la fotico de grandes preguntas</t>
  </si>
  <si>
    <t>https://www.youtube.com/embed/AAWEB6Vr50g</t>
  </si>
  <si>
    <t>insp-build-dyi-antenna3g</t>
  </si>
  <si>
    <t xml:space="preserve">Nos animamos a construir nuestra propia antena 3G </t>
  </si>
  <si>
    <t>Eliminar</t>
  </si>
  <si>
    <t>Este video debe ir en la solución</t>
  </si>
  <si>
    <t>insp-build-memory-solelab</t>
  </si>
  <si>
    <t xml:space="preserve">¿Cómo construir memoria un SOLE Lab? </t>
  </si>
  <si>
    <t>Metodologías</t>
  </si>
  <si>
    <t>Hay que darle un poco más de estructura y narrativa para que sea comprensible por cualquiera</t>
  </si>
  <si>
    <t>insp-convince-sharing-internet</t>
  </si>
  <si>
    <t>¿Crees que podrías convencer a tus vecinos de quitar su contraseña?</t>
  </si>
  <si>
    <t>Preguntas incómodas</t>
  </si>
  <si>
    <t>insp-data-for-dollar</t>
  </si>
  <si>
    <t>¿Cuántos Gb al mes te da tu compañía telefónica por $1US?</t>
  </si>
  <si>
    <t>insp-data-usage</t>
  </si>
  <si>
    <t>¿Cuántas Gb de internet crees que consumes al mes?</t>
  </si>
  <si>
    <t>insp-fish-game</t>
  </si>
  <si>
    <t>Recursos para uno, recursos para todos.</t>
  </si>
  <si>
    <t>We learned to play to reflect on the use of common goods</t>
  </si>
  <si>
    <t>Metodologías, De Voltaje a SOLE</t>
  </si>
  <si>
    <t>https://www.youtube.com/embed/-Rg8bLTbS1Y</t>
  </si>
  <si>
    <t>insp-free-internet-for-all</t>
  </si>
  <si>
    <t>¿Crees que el acceso a internet debería ser libre y gratuito para todos?</t>
  </si>
  <si>
    <t>insp-frequency-replacing-phone</t>
  </si>
  <si>
    <t>¿Cada cuánto cambias tu celular?</t>
  </si>
  <si>
    <t>Preguntas incómodas, Sobre el internet, Vamos a romper</t>
  </si>
  <si>
    <t>insp-granny-cloud</t>
  </si>
  <si>
    <t>¿Cómo cambiar el mundo desde tu casa? Conoce la Nube de abuelitas</t>
  </si>
  <si>
    <t>La Nube de Abuelitas: how to change the world from your home</t>
  </si>
  <si>
    <t>Funcionaría incluir algún videíto o algo parecido. Falta que el contenido sea más explícito en torno a cómo siendo una abuelita cambia uno el mundo</t>
  </si>
  <si>
    <t>insp-granny-no-connection</t>
  </si>
  <si>
    <t>La Nube de Abuelitas: ¿qué pasa cuando no hay conexión?</t>
  </si>
  <si>
    <t>La Nube de Abuelitas: what happens when there is no Internet connection</t>
  </si>
  <si>
    <t>insp-granny-questions</t>
  </si>
  <si>
    <t xml:space="preserve">Preguntas y respuestas sobre la experiencia de ser una Abuelita </t>
  </si>
  <si>
    <t>Questions and answers of the Abuelita experience</t>
  </si>
  <si>
    <t>Se podría seguir ampliando</t>
  </si>
  <si>
    <t>insp-hilando-vidas-OIM</t>
  </si>
  <si>
    <t>SOLE + Hilando Vidas y Esperanza 2022</t>
  </si>
  <si>
    <t>Historias potentes</t>
  </si>
  <si>
    <t>Ajustar para que tenga un tono más inspirador: "si otros lo han hecho, ¿qué tal tú?"</t>
  </si>
  <si>
    <t>https://www.youtube.com/embed/fTIvEZpeTy4</t>
  </si>
  <si>
    <t>insp-how-internet-travels</t>
  </si>
  <si>
    <t>¿Te has preguntado cómo llega el Internet la luz o la señal móvil a ti?</t>
  </si>
  <si>
    <t>Curiosidades, Preguntas incómodas, Sobre el internet</t>
  </si>
  <si>
    <t>Sobre obsolescencia programada y responsabilidad de consumo</t>
  </si>
  <si>
    <t>insp-how-internet-works</t>
  </si>
  <si>
    <t xml:space="preserve">¿Cómo funciona el Internet? </t>
  </si>
  <si>
    <t>How does the Internet work?</t>
  </si>
  <si>
    <t>Sobre el internet</t>
  </si>
  <si>
    <t>Agregué “-” entre palabras</t>
  </si>
  <si>
    <t>insp-imagine-collective-futures</t>
  </si>
  <si>
    <t xml:space="preserve">¿Cómo imaginar futuros en comunidad? </t>
  </si>
  <si>
    <t>Ajustar para que cualquier la entienda (narrativa) + conectar con soluciones concretas o algo parecido</t>
  </si>
  <si>
    <t>insp-internet-ate-homework</t>
  </si>
  <si>
    <t>¿El internet o tu perro han dañado tu tarea?</t>
  </si>
  <si>
    <t>Sobre responsabilidad en el mundo digital (ej. te envié el correo pero nunca te llegó)</t>
  </si>
  <si>
    <t>insp-internet-in-a-box</t>
  </si>
  <si>
    <t>Nos conectamos a internet con una caja.</t>
  </si>
  <si>
    <t>We amplify our Internet and that of many communities through a box</t>
  </si>
  <si>
    <t>Historias potentes, De Voltaje a SOLE, Curiosidades</t>
  </si>
  <si>
    <t>https://www.youtube.com/embed/Fox3N4QHVN4</t>
  </si>
  <si>
    <t>insp-internet-in-group</t>
  </si>
  <si>
    <t xml:space="preserve">¿Cuándo fue la última vez que usaste el Internet en grupo? </t>
  </si>
  <si>
    <t>When was the last time you used the Internet in a group?</t>
  </si>
  <si>
    <t>insp-internet-signal-transmission</t>
  </si>
  <si>
    <t>¿Cómo viaja un mensaje desde tu celular hasta el de tus amigos?</t>
  </si>
  <si>
    <t>How is the Internet signal transmitted?</t>
  </si>
  <si>
    <t>Este parece más del conceptorio.</t>
  </si>
  <si>
    <t>insp-internet-usage-measure</t>
  </si>
  <si>
    <t>¿Cuánto pesan los datos que viajan por internet?</t>
  </si>
  <si>
    <t>How is Internet usage measured?</t>
  </si>
  <si>
    <t>insp-internetimprove-caceres</t>
  </si>
  <si>
    <t xml:space="preserve">¿Cómo mejoró el Internet en Cáceres, Antioquia? </t>
  </si>
  <si>
    <t>How did the Internet improved in Cáceres-Antioquia?</t>
  </si>
  <si>
    <t>https://www.youtube.com/embed/-RRzZSddDeg?si=23QI-C7PEm7_ttml</t>
  </si>
  <si>
    <t>https://www.youtube.com/embed/im4zjtecU9I?si=TWHD9I7gojUUIPu4</t>
  </si>
  <si>
    <t>https://www.youtube.com/embed/d83Py5QEgDs?si=fJdMHxDn--f15hR4</t>
  </si>
  <si>
    <t>https://www.youtube.com/embed/dgvFpUhsfjw?si=Iqltpzy60H62VX1B</t>
  </si>
  <si>
    <t>https://www.youtube.com/embed/1udzbfKgNVE?si=wNV0qIZAgcpMlj-i</t>
  </si>
  <si>
    <t>insp-internetimprove-chalan</t>
  </si>
  <si>
    <t xml:space="preserve">¿Cómo mejoró el Internet en Chalán, Montes de María? </t>
  </si>
  <si>
    <t>How did the internet improve in Chalán-Montes de María?</t>
  </si>
  <si>
    <t>Las imágenes no están bien linkeadas</t>
  </si>
  <si>
    <t>https://www.youtube.com/embed/Mze30kwUtp0?si=tX-Chw-U3VM4Fq5c</t>
  </si>
  <si>
    <t>https://www.youtube.com/embed/1kI6AR2gMTE?si=g8-iokIz0UsSZ9gp</t>
  </si>
  <si>
    <t>insp-internetimprove-coloso</t>
  </si>
  <si>
    <t xml:space="preserve">¿Cómo mejoró el Internet en Colosó, Montes de María? </t>
  </si>
  <si>
    <t>How did the internet improved in Colosó-Montes de María?</t>
  </si>
  <si>
    <t>El video inicial de Mónica está cortado. Quedaron solo 8segundos...</t>
  </si>
  <si>
    <t>https://youtu.be/r8OSAMx3muY</t>
  </si>
  <si>
    <t>https://youtu.be/8TQMVDFO88w</t>
  </si>
  <si>
    <t>insp-internetimprove-dominguillo</t>
  </si>
  <si>
    <t xml:space="preserve">¿Cómo mejoró el Internet en Dominguillo, Cauca? </t>
  </si>
  <si>
    <t>How did the Internet improve in Dominguillo-Cauca?</t>
  </si>
  <si>
    <t>https://youtube.com/shorts/Fc_KbyQqcQE?si=_iiVzsc9pSJVcyKv</t>
  </si>
  <si>
    <t>https://www.youtube.com/embed/x9xiuvhx1vw?si=rF6NQQzpRdJBFCcP</t>
  </si>
  <si>
    <t>https://www.youtube.com/embed/dxaLamDlGaE?si=Qnnk4YQzGlXnofWM</t>
  </si>
  <si>
    <t>insp-internetimprove-nepomuceno</t>
  </si>
  <si>
    <t xml:space="preserve">¿Cómo mejoró el internet en San Juan  Nepomuceno, Montes de María? </t>
  </si>
  <si>
    <t>How did the internet improve in San Juan Nepomuceno-Montes de María?</t>
  </si>
  <si>
    <t>El video inicial no renderiza bien (es un Short, vertical, y no funciona)</t>
  </si>
  <si>
    <t>https://www.youtube.com/embed/ZpUN9LbnZII?si=CmMr0DIebNjdv-8o</t>
  </si>
  <si>
    <t>https://www.youtube.com/embed/-pzJU_1JVjY?si=UhnUqG4DQXHI8UXG</t>
  </si>
  <si>
    <t>insp-internetimprove-nuevomexico</t>
  </si>
  <si>
    <t xml:space="preserve">¿Cómo mejoró el internet en Nuevo México, Santander de Quilichao? </t>
  </si>
  <si>
    <t>How did the internet improved in New Mexico-Santande de Quilichao?</t>
  </si>
  <si>
    <t>https://www.youtube.com/embed/uapZNmZ3RQU?si=JRUmSmIM13IG9TKp</t>
  </si>
  <si>
    <t>insp-internetimprove-piendamo</t>
  </si>
  <si>
    <t xml:space="preserve">¿Cómo mejoró el Internet en Piendamó, Cauca? </t>
  </si>
  <si>
    <t>How did the Internet improve in Piendamó-Cauca?</t>
  </si>
  <si>
    <t>insp-internetimprove-tambo</t>
  </si>
  <si>
    <t xml:space="preserve">¿Cómo mejoró el Internet en El Tambo, Cauca? </t>
  </si>
  <si>
    <t>How did the Internet improve in Tambo-Cauca?</t>
  </si>
  <si>
    <t>Las imágenes no están bien linkeadas. Aparece el SOLE Lab como la biblioteca del futuro... Ajustar</t>
  </si>
  <si>
    <t>https://youtu.be/KfqYS1dcU38</t>
  </si>
  <si>
    <t>https://youtu.be/kuiF8EUP9fE</t>
  </si>
  <si>
    <t>https://youtu.be/MpZokrLn9ng</t>
  </si>
  <si>
    <t>insp-internetimprove-valdivia</t>
  </si>
  <si>
    <t xml:space="preserve">¿Cómo mejoró el Internet en Valdivia, Antioquia? </t>
  </si>
  <si>
    <t>How did the Internet improve in Valdivia-Antioquia?</t>
  </si>
  <si>
    <t>https://www.youtube.com/embed/gNCNCU6sQL0?si=YxaU5p30-ab4uqoe</t>
  </si>
  <si>
    <t>https://www.youtube.com/embed/4Yw_6DQ_v6A?si=5ZyUJgVOd6Z3V6Cd</t>
  </si>
  <si>
    <t>https://www.youtube.com/embed/3HbR-ND3LFM?si=oNOOsNWhXi0iOvnO</t>
  </si>
  <si>
    <t>https://www.youtube.com/embed/U7E0c2SmtS8?si=iH9JFYY5LMpiBXHr</t>
  </si>
  <si>
    <t>https://www.youtube.com/embed/gFWwKLrasDo?si=6RWE7laRikOQJSoV</t>
  </si>
  <si>
    <t>insp-life-and-technology</t>
  </si>
  <si>
    <t>¿Cómo la tecnología nos puede ayudar a tejer historias?</t>
  </si>
  <si>
    <t>Metodologías, Historias potentes</t>
  </si>
  <si>
    <t>Ajustar para que cualquier la entienda (narrativa)</t>
  </si>
  <si>
    <t>insp-make-SOLE</t>
  </si>
  <si>
    <t>¿Cómo hacer SOLE?</t>
  </si>
  <si>
    <t>Tutorial para fomentar el aprendizaje autogestionado.</t>
  </si>
  <si>
    <t>insp-movies-are-bytes</t>
  </si>
  <si>
    <t>Las películas que ves están hechas de ceros y unos (0 y 1).</t>
  </si>
  <si>
    <t>Prioritario</t>
  </si>
  <si>
    <t>Curiosidades, Sobre el internet</t>
  </si>
  <si>
    <t>Sobre el computador, los 0 y 1s llevan a ESTO, llevar a conceptos del conceptorio.</t>
  </si>
  <si>
    <t>insp-others-build-antenna3g</t>
  </si>
  <si>
    <t>La fantástica historia de cómo Nico construyó su manera de tener internet.</t>
  </si>
  <si>
    <t>We encourage others to build their homemade 3G antenna</t>
  </si>
  <si>
    <t>Te ha pasado, Vamos a romper, Curiosidades</t>
  </si>
  <si>
    <t>"https://www.youtube.com/embed/bxdVpI6nOVc"</t>
  </si>
  <si>
    <t>insp-privileged-finance-internet</t>
  </si>
  <si>
    <t>¿Crees que los más privilegiados deberían subsidiar el internet de todos?</t>
  </si>
  <si>
    <t>insp-save-money-fixing</t>
  </si>
  <si>
    <t>¿Eres de los que les gusta ahorrar dinero solucionando las cosas tú mismo?</t>
  </si>
  <si>
    <t>Vamos a romper</t>
  </si>
  <si>
    <t>insp-searching-for-solutions</t>
  </si>
  <si>
    <t>¿Has buscado información en internet para arreglar un problema de tu casa?</t>
  </si>
  <si>
    <t>insp-sharing-your-internet</t>
  </si>
  <si>
    <t>¿Estarías dispuesto a quitarle la clave a tu WiFi?</t>
  </si>
  <si>
    <t>insp-slow-internet</t>
  </si>
  <si>
    <t>¿Te ha pasado que tu internet es lento?</t>
  </si>
  <si>
    <t>Te ha pasado</t>
  </si>
  <si>
    <t>insp-sociotech-cacharreras</t>
  </si>
  <si>
    <t>Trayectoria socio-técnica Comunidad de Cacharreras</t>
  </si>
  <si>
    <t>Hay referenciadas unas BDD que no sé que son. El gráfico y demás es interesante, quizás toca ponerlo más en clave metodológica que le sirva a otros.</t>
  </si>
  <si>
    <t>insp-sole-unal</t>
  </si>
  <si>
    <t xml:space="preserve">SOLE en la U: ¿Qué significa el agua para ti y tu comunidad?  </t>
  </si>
  <si>
    <t>What does water mean to you and your community? National University of Colombia Students</t>
  </si>
  <si>
    <t>Historias potentes, De Voltaje a SOLE</t>
  </si>
  <si>
    <t>las dos carpetas tienen contenido de la misma entrada de página, no sé por qué se generaron 2 carpetas de assets</t>
  </si>
  <si>
    <t>No dice nada… toca construirlo mejor. soleunacional &gt; sole-unal</t>
  </si>
  <si>
    <t>insp-solecolombia-in-thailand</t>
  </si>
  <si>
    <t xml:space="preserve">¡SOLE Colombia llega a Tailandia! </t>
  </si>
  <si>
    <t>SOLE Colombia arrives in Thailand!</t>
  </si>
  <si>
    <t>https://www.youtube.com/embed/bNakrhUveBU</t>
  </si>
  <si>
    <t>insp-solecolombia-is-us</t>
  </si>
  <si>
    <t xml:space="preserve">SOLE Colombia somos TODOS </t>
  </si>
  <si>
    <t>SOLE Colombia is all of us</t>
  </si>
  <si>
    <t>De Voltaje a SOLE, Historias potentes</t>
  </si>
  <si>
    <t>Ajustar para vincular más cercanamente a las personas con SOLE</t>
  </si>
  <si>
    <t>https://www.youtube.com/embed/JfFdzgHIWqk</t>
  </si>
  <si>
    <t>insp-solelab-boca-camarones</t>
  </si>
  <si>
    <t>Construimos un SOLE Lab en la Guajira para usar el internet en grupo</t>
  </si>
  <si>
    <t>The SOLE Lab: The Library of the Future - Discover what life is like in Boca de Camarones</t>
  </si>
  <si>
    <t>Enmarcar mejor en la BFF</t>
  </si>
  <si>
    <t>insp-solelab-tambo</t>
  </si>
  <si>
    <t>¡El segundo SOLE Lab ya está en el Cauca! ¿Te gustaría ser parte de la Biblioteca del Futuro?</t>
  </si>
  <si>
    <t>We inaugurated our second SOLE Lab in El Tambo-Cauca</t>
  </si>
  <si>
    <t>Ajustes en torno a la definición de la BBF + invitar a ser parte de la BBF</t>
  </si>
  <si>
    <t>www.youtube.com/embed/mv24dQOpbFM?si=gJ4BSfbe33XJb9NG</t>
  </si>
  <si>
    <t>insp-solved-on-my-own</t>
  </si>
  <si>
    <t>¿Has solucionado algún problema tecnológico por tu cuenta?</t>
  </si>
  <si>
    <t>insp-speed-access-info</t>
  </si>
  <si>
    <t>¿Te ha pasado que un video carga más rápido en el celular de otra persona?</t>
  </si>
  <si>
    <t>How quickly can information be accessed on the Internet?</t>
  </si>
  <si>
    <t>Sobre el internet, Te ha pasado, Preguntas incómodas</t>
  </si>
  <si>
    <t>Relación con desconectado</t>
  </si>
  <si>
    <t>insp-sth-broke-at-home</t>
  </si>
  <si>
    <t>¿Qué haces cuando se daña algo en casa?</t>
  </si>
  <si>
    <t>Te ha pasado, Vamos a romper</t>
  </si>
  <si>
    <t>insp-tinkerer-corner</t>
  </si>
  <si>
    <t xml:space="preserve">La esquina del cacharreo </t>
  </si>
  <si>
    <t>Cacharreo corner</t>
  </si>
  <si>
    <t>ajuste: cacharreocorner &gt; tinkerer-corner</t>
  </si>
  <si>
    <t>Está como muy volada. Dejaría solo la parte de la historia de cómo Nico se convirtió en cacharrero.</t>
  </si>
  <si>
    <t>insp-tinkerer-inspiration</t>
  </si>
  <si>
    <t>En grupo, solucionamos mejor</t>
  </si>
  <si>
    <t>Cacharrera’s Inspiration</t>
  </si>
  <si>
    <t>Historias potentes, Sobre el internet</t>
  </si>
  <si>
    <t>Vincular historias potentes de lugares concretos + darle un poco más de fuerza</t>
  </si>
  <si>
    <t>insp-tinkerer-since-kid</t>
  </si>
  <si>
    <t>¿Desde pequeño se te facilita desarmar y armar juguetes ?</t>
  </si>
  <si>
    <t>insp-voltaje-test01</t>
  </si>
  <si>
    <t>Prueba # 01 SOLE Voltaje</t>
  </si>
  <si>
    <t>Ajustar para que cualquier la entienda (narrativa + filtrar qué va y qué no)</t>
  </si>
  <si>
    <t>insp-voltaje-test02</t>
  </si>
  <si>
    <t>Prueba # 02 SOLE Voltaje</t>
  </si>
  <si>
    <t>insp-voltaje-test03</t>
  </si>
  <si>
    <t>Prueba # 03 SOLE Voltaje</t>
  </si>
  <si>
    <t>insp-voltaje-test04</t>
  </si>
  <si>
    <t>Prueba # 04 SOLE Voltaje</t>
  </si>
  <si>
    <t>insp-voltaje-tests</t>
  </si>
  <si>
    <t>Estamos contruyendo una plataforma con mucho Voltaje, ¿te nos unes?</t>
  </si>
  <si>
    <t>Photo Gallery - Voltaje Tests</t>
  </si>
  <si>
    <t>Ponerle una narrativa al asunto</t>
  </si>
  <si>
    <t>insp-what-is-internet</t>
  </si>
  <si>
    <t>¿Qué es el internet?</t>
  </si>
  <si>
    <t>What is the Internet? A blanket of solidarity</t>
  </si>
  <si>
    <t>insp-what-is-tinkering</t>
  </si>
  <si>
    <t>¿Qué es cacharrear?</t>
  </si>
  <si>
    <t>Vamos a romper, De Voltaje a SOLE, Sobre el internet</t>
  </si>
  <si>
    <t>insp-who-are-tinkerers</t>
  </si>
  <si>
    <t>¿Quién es un cacharrero?</t>
  </si>
  <si>
    <t>insp-who-is-solecolombia</t>
  </si>
  <si>
    <t>SOLE Colombia: ¿Quiénes somos?</t>
  </si>
  <si>
    <t>https://www.youtube.com/embed/F50DtSwJ0cQ</t>
  </si>
  <si>
    <t>insp-who-pays-web-content</t>
  </si>
  <si>
    <t>¿Quién paga por las canciones que escuchas en YouTube?</t>
  </si>
  <si>
    <t>Sobre la publicidad y cómo funciona esto.</t>
  </si>
  <si>
    <t>conc-2g-net</t>
  </si>
  <si>
    <t>Red 2G</t>
  </si>
  <si>
    <t>2G Net</t>
  </si>
  <si>
    <t>La tecnología que permitió el salto de lo analógico a lo digital.</t>
  </si>
  <si>
    <t>Concepto</t>
  </si>
  <si>
    <t>Redes y conexiones</t>
  </si>
  <si>
    <t>conc-3g-4g-antennas</t>
  </si>
  <si>
    <t>Antena 3/4G</t>
  </si>
  <si>
    <t>3/4G Antenna</t>
  </si>
  <si>
    <t>Un dispositivo para conectarte a las redes 3G o 4G.</t>
  </si>
  <si>
    <t>Dispositivos, Redes y conexiones</t>
  </si>
  <si>
    <t>conc-antenna</t>
  </si>
  <si>
    <t>Antena</t>
  </si>
  <si>
    <t>Antenna</t>
  </si>
  <si>
    <t>Un dispositivo que recibe y transmite ondas.</t>
  </si>
  <si>
    <t>conc-bandwidth</t>
  </si>
  <si>
    <t>Ancho de banda</t>
  </si>
  <si>
    <t>conc-canva</t>
  </si>
  <si>
    <t>Canva</t>
  </si>
  <si>
    <t>Una plataforma de diseño gráfico en línea para cualquiera.</t>
  </si>
  <si>
    <t>Programas y aplicaciones</t>
  </si>
  <si>
    <t>conc-client</t>
  </si>
  <si>
    <t>Cliente informático</t>
  </si>
  <si>
    <t>Computer Client</t>
  </si>
  <si>
    <t>Quienes interactúan con los servidores.</t>
  </si>
  <si>
    <t>Funcionamiento del computador, Redes y conexiones, Términos del mundo virtual</t>
  </si>
  <si>
    <t>conc-coaxial-cable</t>
  </si>
  <si>
    <t>Cable coaxial</t>
  </si>
  <si>
    <t>Coaxial cable</t>
  </si>
  <si>
    <t>Transporte de señales de alta frecuencia.</t>
  </si>
  <si>
    <t>conc-command-prompt</t>
  </si>
  <si>
    <t>Símbolo de sistema CMD</t>
  </si>
  <si>
    <t>Command Prompt CMD</t>
  </si>
  <si>
    <t>Charlar con el computador... pero en su idioma.</t>
  </si>
  <si>
    <t>Funcionamiento del computador</t>
  </si>
  <si>
    <t>conc-daemon</t>
  </si>
  <si>
    <t>Demonio (servicio o programa)</t>
  </si>
  <si>
    <t>Daemon (service or program)</t>
  </si>
  <si>
    <t>Programas que se ejecutan en segundo plano.</t>
  </si>
  <si>
    <t>Funcionamiento del computador, Términos del mundo virtual</t>
  </si>
  <si>
    <t>conc-dhcp-protocol</t>
  </si>
  <si>
    <t>Protocolo DHCP</t>
  </si>
  <si>
    <t>DHCP Protocol</t>
  </si>
  <si>
    <t>Un "repartidor" de señal y de comunicación.</t>
  </si>
  <si>
    <t>conc-dns</t>
  </si>
  <si>
    <t>DNS - Sistema de Nombres de Dominio</t>
  </si>
  <si>
    <t>DNS - Domain Name System</t>
  </si>
  <si>
    <t>El directorio del Internet.</t>
  </si>
  <si>
    <t>Redes y conexiones, Términos del mundo virtual</t>
  </si>
  <si>
    <t>conc-dnsmasq</t>
  </si>
  <si>
    <t>Redireccionador DNS y servidor DHCP ligero</t>
  </si>
  <si>
    <t>Dnsmasq</t>
  </si>
  <si>
    <t>Software de almacenamiento de DNS.</t>
  </si>
  <si>
    <t>Redes y conexiones, Funcionamiento del computador</t>
  </si>
  <si>
    <t>conc-domain-name</t>
  </si>
  <si>
    <t>Nombre de dominio</t>
  </si>
  <si>
    <t>Domain name</t>
  </si>
  <si>
    <t>Como la dirección de la casa pero de un sitio web en Internet.</t>
  </si>
  <si>
    <t>Términos del mundo virtual, Seguridad e identificación</t>
  </si>
  <si>
    <t>conc-edge-connection</t>
  </si>
  <si>
    <t>Conexión EDGE</t>
  </si>
  <si>
    <t>EDGE Connection</t>
  </si>
  <si>
    <t>Un puente entre el 2G y 3G.</t>
  </si>
  <si>
    <t>conc-ethernet</t>
  </si>
  <si>
    <t>Conexión/ cable Ethernet</t>
  </si>
  <si>
    <t>Ethernet cable/ connection</t>
  </si>
  <si>
    <t>Transmisión de datos entre dispositivos.</t>
  </si>
  <si>
    <t>conc-firewall</t>
  </si>
  <si>
    <t>Cortafuegos (firewall)</t>
  </si>
  <si>
    <t>Firewall</t>
  </si>
  <si>
    <t>La chapa de seguridad de tu computador al navegar en Internet.</t>
  </si>
  <si>
    <t>Seguridad e identificación, Funcionamiento del computador</t>
  </si>
  <si>
    <t>conc-gprs</t>
  </si>
  <si>
    <t>GPRS (Servicio General de Paquetes Vía Radio)</t>
  </si>
  <si>
    <t>GPRS (General Packet Radio Services)</t>
  </si>
  <si>
    <t>Transferencia de datos por paquetes.</t>
  </si>
  <si>
    <t>conc-hostapd-daemon</t>
  </si>
  <si>
    <t>Demonio Hostapd</t>
  </si>
  <si>
    <t>Hostapd Daemon</t>
  </si>
  <si>
    <t>Un punto de acceso a Internet desde tu computador.</t>
  </si>
  <si>
    <t>Funcionamiento del computador, Redes y conexiones</t>
  </si>
  <si>
    <t>conc-hspa-technology</t>
  </si>
  <si>
    <t>Tecnología HSPA (Acceso de Paquetes de Alta Velocidad)</t>
  </si>
  <si>
    <t>HSPA Technology</t>
  </si>
  <si>
    <t>Un potenciador de la red 3G.</t>
  </si>
  <si>
    <t>conc-image-type</t>
  </si>
  <si>
    <t xml:space="preserve">Tipos de imagen - JPG, PNG, WEBP </t>
  </si>
  <si>
    <t>conc-imei-code</t>
  </si>
  <si>
    <t>Código IMEI</t>
  </si>
  <si>
    <t>IMEI Code</t>
  </si>
  <si>
    <t>El documento de identificación de tu teléfono celular.</t>
  </si>
  <si>
    <t>Seguridad e identificación, Términos del mundo virtual</t>
  </si>
  <si>
    <t>conc-information-system</t>
  </si>
  <si>
    <t>Sistema informático (SI)</t>
  </si>
  <si>
    <t>Information system (IS)</t>
  </si>
  <si>
    <t>Elementos físicos y lógicos que nos permiten intercambiar información.</t>
  </si>
  <si>
    <t>conc-interface</t>
  </si>
  <si>
    <t>Interfaz</t>
  </si>
  <si>
    <t>Interface</t>
  </si>
  <si>
    <t>Un punto de contacto o conexión entre dos sistemas.</t>
  </si>
  <si>
    <t>conc-ip-address</t>
  </si>
  <si>
    <t>Dirección IP</t>
  </si>
  <si>
    <t>IP Address</t>
  </si>
  <si>
    <t>Identificador único de los dispositivos conectados a una red de Internet.</t>
  </si>
  <si>
    <t>Seguridad e identificación, Redes y conexiones, Términos del mundo virtual</t>
  </si>
  <si>
    <t>conc-latency</t>
  </si>
  <si>
    <t>Latencia</t>
  </si>
  <si>
    <t>Latency</t>
  </si>
  <si>
    <t>Tiempo que tarda un viajar un paquete de datos por la red.</t>
  </si>
  <si>
    <t>conc-local-network</t>
  </si>
  <si>
    <t>LAN - Red local</t>
  </si>
  <si>
    <t>LAN - Local Area Network</t>
  </si>
  <si>
    <t>Redes informáticas que no necesariamente están conectadas al Internet.</t>
  </si>
  <si>
    <t>conc-lte-4g-connection</t>
  </si>
  <si>
    <t>Conexión 4G o LTE</t>
  </si>
  <si>
    <t>LTE or 4G Connection</t>
  </si>
  <si>
    <t>conc-mifi-modem</t>
  </si>
  <si>
    <t>Módem MiFi</t>
  </si>
  <si>
    <t>MiFi Modem</t>
  </si>
  <si>
    <t>conc-operating-system</t>
  </si>
  <si>
    <t>Sistema operativo (SO)</t>
  </si>
  <si>
    <t>Operating system (OS)</t>
  </si>
  <si>
    <t>conc-ping-program</t>
  </si>
  <si>
    <t>Programa ping</t>
  </si>
  <si>
    <t>Ping program</t>
  </si>
  <si>
    <t>Programas y aplicaciones, Redes y conexiones</t>
  </si>
  <si>
    <t>conc-ram-memory</t>
  </si>
  <si>
    <t>Memoria RAM</t>
  </si>
  <si>
    <t>RAM Memory</t>
  </si>
  <si>
    <t>Almacenamiento, Funcionamiento del computador</t>
  </si>
  <si>
    <t>conc-raspberry-pi</t>
  </si>
  <si>
    <t>Raspberry Pi</t>
  </si>
  <si>
    <t>Dispositivos, Funcionamiento del computador</t>
  </si>
  <si>
    <t>conc-rg6-cable</t>
  </si>
  <si>
    <t>Cable RG6</t>
  </si>
  <si>
    <t>RG6 Cable</t>
  </si>
  <si>
    <t>conc-router</t>
  </si>
  <si>
    <t>Módem, router o enrutador</t>
  </si>
  <si>
    <t>Modem or router</t>
  </si>
  <si>
    <t>conc-sdmemory</t>
  </si>
  <si>
    <t>Memoria SD/ MiniSD/ MicroSD</t>
  </si>
  <si>
    <t>SD/ MiniSD/ MicroSD Memory</t>
  </si>
  <si>
    <t>Almacenamiento</t>
  </si>
  <si>
    <t>conc-server</t>
  </si>
  <si>
    <t>Servidor</t>
  </si>
  <si>
    <t>Server</t>
  </si>
  <si>
    <t>conc-simcard</t>
  </si>
  <si>
    <t>Tarjeta SIM</t>
  </si>
  <si>
    <t>SIM Card</t>
  </si>
  <si>
    <t>Dispositivos, Seguridad e identificación</t>
  </si>
  <si>
    <t>conc-smartphone</t>
  </si>
  <si>
    <t>Teléfono móvil inteligente</t>
  </si>
  <si>
    <t>Smartphone</t>
  </si>
  <si>
    <t>conc-ssh-protocol</t>
  </si>
  <si>
    <t>Protocolo SSH</t>
  </si>
  <si>
    <t>SSH Protocol</t>
  </si>
  <si>
    <t>Seguridad e identificación, Redes y conexiones</t>
  </si>
  <si>
    <t>conc-ssid-identifier</t>
  </si>
  <si>
    <t>Identificador SSID</t>
  </si>
  <si>
    <t>SSID Identifier</t>
  </si>
  <si>
    <t>conc-swap-memory</t>
  </si>
  <si>
    <t>Memoria SWAP</t>
  </si>
  <si>
    <t>SWAP Memory</t>
  </si>
  <si>
    <t>conc-terminal</t>
  </si>
  <si>
    <t>Terminal o consola</t>
  </si>
  <si>
    <t>Terminal or console</t>
  </si>
  <si>
    <t>conc-umts</t>
  </si>
  <si>
    <t>UMTS (Sistema Universal de Telecomuniaciones Móviles</t>
  </si>
  <si>
    <t>UMTS (Universal Mobile Telecommunications System)</t>
  </si>
  <si>
    <t>conc-usb-connection</t>
  </si>
  <si>
    <t>Conexión USB</t>
  </si>
  <si>
    <t>USD Connection</t>
  </si>
  <si>
    <t>conc-username</t>
  </si>
  <si>
    <t>Nombre de usuario</t>
  </si>
  <si>
    <t>Username</t>
  </si>
  <si>
    <t>Seguridad e identificación</t>
  </si>
  <si>
    <t>conc-whatsapp</t>
  </si>
  <si>
    <t>WhatsApp</t>
  </si>
  <si>
    <t>Programas y aplicaciones, Términos del mundo virtual</t>
  </si>
  <si>
    <t>conc-wireless-fidelity</t>
  </si>
  <si>
    <t>WiFi - Fidelidad Inalámbrica</t>
  </si>
  <si>
    <t>WiFi - Wireless Fidelity</t>
  </si>
  <si>
    <t>conc-yagi-antenna</t>
  </si>
  <si>
    <t>Antena tipo Yagi</t>
  </si>
  <si>
    <t>Yagi antenna</t>
  </si>
  <si>
    <t>Focalizar la señal.</t>
  </si>
  <si>
    <t>ultima actualizacion</t>
  </si>
  <si>
    <t>disc-awake-curiosity</t>
  </si>
  <si>
    <t>Despertar tu curiosidad</t>
  </si>
  <si>
    <t>Una Gran Pregunta en un mundo sin escritura.</t>
  </si>
  <si>
    <t>Desconectado</t>
  </si>
  <si>
    <t>Cartas navegadoras</t>
  </si>
  <si>
    <t>disc-needle-in-haystack</t>
  </si>
  <si>
    <t>Encontrar una aguja en un pajar</t>
  </si>
  <si>
    <t>Internet: la biblioteca más grande en tu bolsillo.</t>
  </si>
  <si>
    <t>disc-where-is-internet</t>
  </si>
  <si>
    <t>Descubrir dónde está el internet</t>
  </si>
  <si>
    <t>Una red de millones de computadores.</t>
  </si>
  <si>
    <t>disc-travel-like-information</t>
  </si>
  <si>
    <t>Convertirte en información que viaja por el internet</t>
  </si>
  <si>
    <t>¿Cómo funciona el internet?</t>
  </si>
  <si>
    <t>disc-be-electricity-waves</t>
  </si>
  <si>
    <t>Jugar a ser electricidad y ondas</t>
  </si>
  <si>
    <t>¿Cómo se transmite la señal de internet?</t>
  </si>
  <si>
    <t>disc-healthy-informational-diet</t>
  </si>
  <si>
    <t>Inventar una alimentación informática saludable</t>
  </si>
  <si>
    <t>¿Cómo se mide el uso del internet?</t>
  </si>
  <si>
    <t>disc-travel-speed-light</t>
  </si>
  <si>
    <t>Viajar a la velocidad de la luz</t>
  </si>
  <si>
    <t>¿Qué tan rápido puedes acceder a la información en internet?</t>
  </si>
  <si>
    <t>disc-jump-in-internet</t>
  </si>
  <si>
    <t>Saltar de arriba a abajo en el internet</t>
  </si>
  <si>
    <t>¿Qué significa "velocidad de carga y de descarga?</t>
  </si>
  <si>
    <t>disc-be-internet-scientist</t>
  </si>
  <si>
    <t>Ser un científico del internet</t>
  </si>
  <si>
    <t>¿Cómo saber qué tan rápido es tu internet?</t>
  </si>
  <si>
    <t>disc-become-waves-travel</t>
  </si>
  <si>
    <t>Transformarte en ondas para viajar por el mundo</t>
  </si>
  <si>
    <t>¿Cómo saber que tienes señal móvil?</t>
  </si>
  <si>
    <t>disc-surf-higher-waves</t>
  </si>
  <si>
    <t>Surfear cada vez en olas más altas</t>
  </si>
  <si>
    <t>¿Cómo saber qué tipo de señal móvil tienes?</t>
  </si>
  <si>
    <t>disc-become-wireless-tech</t>
  </si>
  <si>
    <t>Transformarte en una tecnología inalámbrica para conectar historias de vida</t>
  </si>
  <si>
    <t>¿Cómo saber que tienes señal WiFi?</t>
  </si>
  <si>
    <t>disc-be-internet-traveler</t>
  </si>
  <si>
    <t>Ser internet para viajar por un cable a través de la tierra y los océanos</t>
  </si>
  <si>
    <t>¿Cómo saber que tienes señal por cable?</t>
  </si>
  <si>
    <t>Cartas cacharreras</t>
  </si>
  <si>
    <t>disc-buy-3Gantenna-obtain</t>
  </si>
  <si>
    <t>¿Cómo comprar una antena 3/4G?</t>
  </si>
  <si>
    <t>Una alternativa de conectividad económica.</t>
  </si>
  <si>
    <t>Cartas conectivas</t>
  </si>
  <si>
    <t>disc-build-3Gantenna</t>
  </si>
  <si>
    <t>Construye una antena 3G casera</t>
  </si>
  <si>
    <t>Recibe ondas de señal 3G extendiendo la antena de tu celular.</t>
  </si>
  <si>
    <t>disc-agree-with-neighbor</t>
  </si>
  <si>
    <t>Acordar con un vecino</t>
  </si>
  <si>
    <t>Otras personas ya están conectadas.</t>
  </si>
  <si>
    <t>disc-radio-link-antenna</t>
  </si>
  <si>
    <t>Antenas de radioenlace</t>
  </si>
  <si>
    <t>Extender la señal a través del aire.</t>
  </si>
  <si>
    <t>disc-satellite-internet</t>
  </si>
  <si>
    <t>Internet satelital</t>
  </si>
  <si>
    <t>El último recurso de conectividad.</t>
  </si>
  <si>
    <t>No es claro qué hacer con esto...</t>
  </si>
  <si>
    <t>disc-jangala-internet-box</t>
  </si>
  <si>
    <t>Big Box de Jangala</t>
  </si>
  <si>
    <t>Reúne, amplifica y comparte la señal existente.</t>
  </si>
  <si>
    <t>disc-shared-satellite-internet</t>
  </si>
  <si>
    <t>Internet satelital compartido</t>
  </si>
  <si>
    <t>Creación de acuerdos para la compra y uso de internet satelital.</t>
  </si>
  <si>
    <t>disc-share-internet</t>
  </si>
  <si>
    <t>¿Cómo compartir internet?</t>
  </si>
  <si>
    <t>Compartir es una responsabilidad colectiva.</t>
  </si>
  <si>
    <t>disc-improve-signal-router</t>
  </si>
  <si>
    <t>Mejora el alcance de tu router</t>
  </si>
  <si>
    <t>Optimiza la calidad de tu señal de router.</t>
  </si>
  <si>
    <t>disc-buy-3Gantenna-improve</t>
  </si>
  <si>
    <t>Compra una antena 3/4G</t>
  </si>
  <si>
    <t>disc-measure-signal-mobile</t>
  </si>
  <si>
    <t>¿Cómo cacharrear tu señal móvil?</t>
  </si>
  <si>
    <t>Diagnóstico de señal móvil.</t>
  </si>
  <si>
    <t>disc-measure-signal-wifi</t>
  </si>
  <si>
    <t>¿Cómo cacharrear tu señal WiFi?</t>
  </si>
  <si>
    <t>Diagnóstico de señal WiFi.</t>
  </si>
  <si>
    <t>disc-use-disconnected-tool</t>
  </si>
  <si>
    <t>Instrucciones para usar SOLE Voltaje Desconectado</t>
  </si>
  <si>
    <t>¿Cómo conectarnos a internet sin tener conexión?</t>
  </si>
  <si>
    <t>Pregunta</t>
  </si>
  <si>
    <t>Enlace</t>
  </si>
  <si>
    <t>¿Estás en un sitio sin electricidad constante y estable?</t>
  </si>
  <si>
    <t>https://sole-colombia.github.io/voltaje/es/solve/?solve_cats=Electricidad</t>
  </si>
  <si>
    <t>¿Te has preguntado qué es el internet?</t>
  </si>
  <si>
    <t>https://sole-colombia.github.io/voltaje/es/inspire/insp-what-is-internet</t>
  </si>
  <si>
    <t>¿Tu señal de internet es mala o inestable?</t>
  </si>
  <si>
    <t>https://sole-colombia.github.io/voltaje/es/solve/?solve_cats=Se%C3%B1al</t>
  </si>
  <si>
    <t>¿Cómo conectarse a internet con una caja?</t>
  </si>
  <si>
    <t>https://sole-colombia.github.io/voltaje/es/solve/solv-jangala-internet-box</t>
  </si>
  <si>
    <t>¿Conoces gente que no tiene un lugar público o comunitario para reunirse?</t>
  </si>
  <si>
    <t>https://sole-colombia.github.io/voltaje/es/solve/?solve_cats=Espacios</t>
  </si>
  <si>
    <t>¿Cuándo fue la última vez que usaste el internet en grupo?</t>
  </si>
  <si>
    <t>https://sole-colombia.github.io/voltaje/es/inspire/insp-internet-in-group</t>
  </si>
  <si>
    <t>¿Es difícil convocar personas para hacer algo juntos?</t>
  </si>
  <si>
    <t>https://sole-colombia.github.io/voltaje/es/solve/?solve_cats=Personas</t>
  </si>
  <si>
    <t>https://sole-colombia.github.io/voltaje/es/inspire/insp-sharing-your-internet</t>
  </si>
  <si>
    <t>¿Conoces comunidades que necesiten computadores?</t>
  </si>
  <si>
    <t>https://sole-colombia.github.io/voltaje/es/solve/?solve_cats=Dispositivos</t>
  </si>
  <si>
    <t>¿Sabías que con una lata puedes mejorar la señal de tu celular?</t>
  </si>
  <si>
    <t>https://sole-colombia.github.io/voltaje/es/solve/solv-improve-signal-can</t>
  </si>
  <si>
    <t>¿Conoces a alguien que NO tiene acceso a internet?</t>
  </si>
  <si>
    <t>https://sole-colombia.github.io/voltaje/es/disconnected</t>
  </si>
  <si>
    <t>¿Quieres conocer comunidades que hackean su propia conexión a internet?</t>
  </si>
  <si>
    <t>https://sole-colombia.github.io/voltaje/es/inspire?inspire_tags=historias-potentes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</si>
</sst>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434343"/>
      <name val="Roboto"/>
    </font>
    <font>
      <sz val="12.0"/>
      <color rgb="FF11734B"/>
      <name val="Roboto"/>
    </font>
    <font>
      <u/>
      <color rgb="FF0000FF"/>
      <name val="Roboto"/>
    </font>
    <font>
      <color theme="1"/>
      <name val="Arial"/>
    </font>
    <font>
      <b/>
      <sz val="12.0"/>
      <color theme="1"/>
      <name val="Roboto"/>
    </font>
    <font>
      <sz val="12.0"/>
      <color theme="1"/>
      <name val="Aptos Narrow"/>
    </font>
    <font>
      <sz val="12.0"/>
      <color rgb="FF2A3243"/>
      <name val="Roboto"/>
    </font>
    <font>
      <sz val="12.0"/>
      <color theme="1"/>
      <name val="Arial"/>
    </font>
    <font>
      <sz val="12.0"/>
      <color rgb="FF473821"/>
      <name val="Roboto"/>
    </font>
    <font>
      <u/>
      <sz val="12.0"/>
      <color rgb="FF434343"/>
      <name val="Roboto"/>
    </font>
    <font>
      <sz val="12.0"/>
      <color rgb="FFFFCFC9"/>
      <name val="Roboto"/>
    </font>
    <font>
      <sz val="12.0"/>
      <color rgb="FF3D3D3D"/>
      <name val="Roboto"/>
    </font>
    <font>
      <u/>
      <sz val="12.0"/>
      <color rgb="FF434343"/>
      <name val="Roboto"/>
    </font>
    <font>
      <sz val="12.0"/>
      <color rgb="FF215A6C"/>
      <name val="Roboto"/>
    </font>
    <font>
      <u/>
      <sz val="12.0"/>
      <color rgb="FF434343"/>
      <name val="Roboto"/>
    </font>
    <font>
      <sz val="12.0"/>
      <color theme="1"/>
      <name val="Roboto"/>
    </font>
    <font>
      <sz val="12.0"/>
      <color rgb="FF753800"/>
      <name val="Roboto"/>
    </font>
    <font>
      <sz val="12.0"/>
      <color rgb="FF753800"/>
      <name val="Arial"/>
    </font>
    <font>
      <sz val="12.0"/>
      <color rgb="FF753800"/>
      <name val="Aptos Narrow"/>
    </font>
    <font>
      <b/>
      <sz val="12.0"/>
      <color rgb="FFFFFFFF"/>
      <name val="Roboto"/>
    </font>
    <font>
      <sz val="12.0"/>
      <color rgb="FF000000"/>
      <name val="&quot;Aptos Narrow&quot;"/>
    </font>
    <font>
      <sz val="12.0"/>
      <color rgb="FF000000"/>
      <name val="Arial"/>
    </font>
    <font>
      <b/>
      <color rgb="FFFFFF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39ECC"/>
        <bgColor rgb="FF039E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A64D79"/>
        <bgColor rgb="FFA64D79"/>
      </patternFill>
    </fill>
    <fill>
      <patternFill patternType="solid">
        <fgColor rgb="FFF9CB9C"/>
        <bgColor rgb="FFF9CB9C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2779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27799"/>
      </right>
      <top style="thin">
        <color rgb="FFFFFFFF"/>
      </top>
      <bottom style="thin">
        <color rgb="FFFFFFFF"/>
      </bottom>
    </border>
    <border>
      <left style="thin">
        <color rgb="FF02779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27799"/>
      </right>
      <top style="thin">
        <color rgb="FFF6F8F9"/>
      </top>
      <bottom style="thin">
        <color rgb="FFF6F8F9"/>
      </bottom>
    </border>
    <border>
      <left style="thin">
        <color rgb="FF73165B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27799"/>
      </left>
      <right style="thin">
        <color rgb="FF039ECC"/>
      </right>
      <top style="thin">
        <color rgb="FF027799"/>
      </top>
      <bottom style="thin">
        <color rgb="FF027799"/>
      </bottom>
    </border>
    <border>
      <left style="thin">
        <color rgb="FF039ECC"/>
      </left>
      <right style="thin">
        <color rgb="FF039ECC"/>
      </right>
      <top style="thin">
        <color rgb="FF027799"/>
      </top>
      <bottom style="thin">
        <color rgb="FF027799"/>
      </bottom>
    </border>
    <border>
      <left style="thin">
        <color rgb="FF039ECC"/>
      </left>
      <right style="thin">
        <color rgb="FF027799"/>
      </right>
      <top style="thin">
        <color rgb="FF027799"/>
      </top>
      <bottom style="thin">
        <color rgb="FF027799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3" fontId="6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3" fillId="3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4" fillId="3" fontId="10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5" fillId="4" fontId="5" numFmtId="0" xfId="0" applyAlignment="1" applyBorder="1" applyFill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13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6" fillId="4" fontId="5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1" fillId="3" fontId="15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0"/>
    </xf>
    <xf borderId="2" fillId="3" fontId="11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6" fillId="3" fontId="10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readingOrder="0" shrinkToFit="0" vertical="center" wrapText="0"/>
    </xf>
    <xf borderId="1" fillId="4" fontId="10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0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shrinkToFit="0" vertical="center" wrapText="0"/>
    </xf>
    <xf borderId="2" fillId="4" fontId="6" numFmtId="0" xfId="0" applyAlignment="1" applyBorder="1" applyFont="1">
      <alignment shrinkToFit="0" vertical="center" wrapText="0"/>
    </xf>
    <xf borderId="2" fillId="4" fontId="16" numFmtId="0" xfId="0" applyAlignment="1" applyBorder="1" applyFont="1">
      <alignment shrinkToFit="0" vertical="center" wrapText="0"/>
    </xf>
    <xf borderId="6" fillId="4" fontId="10" numFmtId="0" xfId="0" applyAlignment="1" applyBorder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1" fillId="4" fontId="18" numFmtId="0" xfId="0" applyAlignment="1" applyBorder="1" applyFont="1">
      <alignment shrinkToFit="0" vertical="center" wrapText="0"/>
    </xf>
    <xf borderId="1" fillId="4" fontId="16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2" fillId="3" fontId="16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2" fillId="3" fontId="13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readingOrder="0" shrinkToFit="0" vertical="center" wrapText="0"/>
    </xf>
    <xf borderId="1" fillId="3" fontId="13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0" fillId="3" fontId="19" numFmtId="0" xfId="0" applyAlignment="1" applyFont="1">
      <alignment readingOrder="0" shrinkToFit="0" vertical="center" wrapText="0"/>
    </xf>
    <xf borderId="5" fillId="0" fontId="20" numFmtId="0" xfId="0" applyAlignment="1" applyBorder="1" applyFont="1">
      <alignment shrinkToFit="0" vertical="center" wrapText="0"/>
    </xf>
    <xf borderId="6" fillId="4" fontId="12" numFmtId="0" xfId="0" applyAlignment="1" applyBorder="1" applyFont="1">
      <alignment readingOrder="0" shrinkToFit="0" vertical="center" wrapText="0"/>
    </xf>
    <xf borderId="4" fillId="3" fontId="12" numFmtId="0" xfId="0" applyAlignment="1" applyBorder="1" applyFont="1">
      <alignment readingOrder="0" shrinkToFit="0" vertical="center" wrapText="0"/>
    </xf>
    <xf borderId="4" fillId="4" fontId="12" numFmtId="0" xfId="0" applyAlignment="1" applyBorder="1" applyFont="1">
      <alignment readingOrder="0" shrinkToFit="0" vertical="center" wrapText="0"/>
    </xf>
    <xf borderId="3" fillId="4" fontId="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2" fillId="3" fontId="21" numFmtId="0" xfId="0" applyAlignment="1" applyBorder="1" applyFont="1">
      <alignment shrinkToFit="0" vertical="center" wrapText="0"/>
    </xf>
    <xf borderId="1" fillId="3" fontId="16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2" fillId="4" fontId="11" numFmtId="0" xfId="0" applyAlignment="1" applyBorder="1" applyFont="1">
      <alignment shrinkToFit="0" vertical="center" wrapText="0"/>
    </xf>
    <xf borderId="1" fillId="3" fontId="11" numFmtId="0" xfId="0" applyAlignment="1" applyBorder="1" applyFont="1">
      <alignment readingOrder="0" shrinkToFit="0" vertical="center" wrapText="0"/>
    </xf>
    <xf borderId="2" fillId="3" fontId="5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6" numFmtId="0" xfId="0" applyAlignment="1" applyBorder="1" applyFont="1">
      <alignment readingOrder="0" shrinkToFit="0" vertical="center" wrapText="0"/>
    </xf>
    <xf borderId="1" fillId="4" fontId="22" numFmtId="0" xfId="0" applyAlignment="1" applyBorder="1" applyFont="1">
      <alignment readingOrder="0" shrinkToFit="0" vertical="center" wrapText="0"/>
    </xf>
    <xf borderId="2" fillId="3" fontId="23" numFmtId="0" xfId="0" applyAlignment="1" applyBorder="1" applyFont="1">
      <alignment shrinkToFit="0" vertical="center" wrapText="0"/>
    </xf>
    <xf borderId="7" fillId="3" fontId="5" numFmtId="0" xfId="0" applyAlignment="1" applyBorder="1" applyFont="1">
      <alignment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shrinkToFit="0" vertical="center" wrapText="0"/>
    </xf>
    <xf borderId="0" fillId="3" fontId="10" numFmtId="0" xfId="0" applyAlignment="1" applyFont="1">
      <alignment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8" fillId="5" fontId="24" numFmtId="0" xfId="0" applyAlignment="1" applyBorder="1" applyFill="1" applyFont="1">
      <alignment horizontal="left" readingOrder="0" shrinkToFit="0" vertical="center" wrapText="0"/>
    </xf>
    <xf borderId="9" fillId="5" fontId="24" numFmtId="0" xfId="0" applyAlignment="1" applyBorder="1" applyFont="1">
      <alignment horizontal="left" readingOrder="0" shrinkToFit="0" vertical="center" wrapText="0"/>
    </xf>
    <xf borderId="10" fillId="5" fontId="24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2" fillId="3" fontId="16" numFmtId="0" xfId="0" applyAlignment="1" applyBorder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1" fillId="3" fontId="13" numFmtId="0" xfId="0" applyAlignment="1" applyBorder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1" fillId="3" fontId="10" numFmtId="0" xfId="0" applyAlignment="1" applyBorder="1" applyFont="1">
      <alignment readingOrder="0" shrinkToFit="0" vertical="center" wrapText="0"/>
    </xf>
    <xf borderId="5" fillId="4" fontId="5" numFmtId="0" xfId="0" applyAlignment="1" applyBorder="1" applyFont="1">
      <alignment readingOrder="0" shrinkToFit="0" vertical="center" wrapText="0"/>
    </xf>
    <xf borderId="2" fillId="4" fontId="16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2" fillId="3" fontId="10" numFmtId="0" xfId="0" applyAlignment="1" applyBorder="1" applyFont="1">
      <alignment readingOrder="0" shrinkToFit="0" vertical="center" wrapText="0"/>
    </xf>
    <xf borderId="2" fillId="3" fontId="10" numFmtId="0" xfId="0" applyAlignment="1" applyBorder="1" applyFont="1">
      <alignment readingOrder="0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readingOrder="0" shrinkToFit="0" vertical="center" wrapText="0"/>
    </xf>
    <xf borderId="1" fillId="4" fontId="16" numFmtId="0" xfId="0" applyAlignment="1" applyBorder="1" applyFont="1">
      <alignment readingOrder="0" shrinkToFit="0" vertical="center" wrapText="0"/>
    </xf>
    <xf borderId="1" fillId="4" fontId="13" numFmtId="0" xfId="0" applyAlignment="1" applyBorder="1" applyFont="1">
      <alignment readingOrder="0" shrinkToFit="0" vertical="center" wrapText="0"/>
    </xf>
    <xf borderId="1" fillId="4" fontId="12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3" fillId="6" fontId="5" numFmtId="0" xfId="0" applyAlignment="1" applyBorder="1" applyFill="1" applyFont="1">
      <alignment readingOrder="0" shrinkToFit="0" vertical="center" wrapText="0"/>
    </xf>
    <xf borderId="1" fillId="3" fontId="16" numFmtId="0" xfId="0" applyAlignment="1" applyBorder="1" applyFont="1">
      <alignment readingOrder="0" shrinkToFit="0" vertical="center" wrapText="0"/>
    </xf>
    <xf borderId="2" fillId="4" fontId="10" numFmtId="0" xfId="0" applyAlignment="1" applyBorder="1" applyFont="1">
      <alignment readingOrder="0" shrinkToFit="0" vertical="center" wrapText="0"/>
    </xf>
    <xf borderId="2" fillId="4" fontId="10" numFmtId="0" xfId="0" applyAlignment="1" applyBorder="1" applyFont="1">
      <alignment readingOrder="0" shrinkToFit="0" vertical="center" wrapText="0"/>
    </xf>
    <xf borderId="2" fillId="3" fontId="6" numFmtId="0" xfId="0" applyAlignment="1" applyBorder="1" applyFont="1">
      <alignment readingOrder="0" shrinkToFit="0" vertical="center" wrapText="0"/>
    </xf>
    <xf borderId="2" fillId="4" fontId="12" numFmtId="0" xfId="0" applyAlignment="1" applyBorder="1" applyFont="1">
      <alignment readingOrder="0" shrinkToFit="0" vertical="center" wrapText="0"/>
    </xf>
    <xf borderId="2" fillId="0" fontId="26" numFmtId="0" xfId="0" applyAlignment="1" applyBorder="1" applyFont="1">
      <alignment readingOrder="0" shrinkToFit="0" vertical="center" wrapText="0"/>
    </xf>
    <xf borderId="1" fillId="0" fontId="25" numFmtId="0" xfId="0" applyAlignment="1" applyBorder="1" applyFont="1">
      <alignment readingOrder="0" shrinkToFit="0" vertical="center" wrapText="0"/>
    </xf>
    <xf borderId="1" fillId="3" fontId="16" numFmtId="0" xfId="0" applyAlignment="1" applyBorder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3" fontId="12" numFmtId="0" xfId="0" applyAlignment="1" applyBorder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2" fillId="4" fontId="12" numFmtId="0" xfId="0" applyAlignment="1" applyBorder="1" applyFont="1">
      <alignment readingOrder="0" shrinkToFit="0" vertical="center" wrapText="0"/>
    </xf>
    <xf borderId="2" fillId="3" fontId="12" numFmtId="0" xfId="0" applyAlignment="1" applyBorder="1" applyFont="1">
      <alignment readingOrder="0" shrinkToFit="0" vertical="center" wrapText="0"/>
    </xf>
    <xf borderId="3" fillId="7" fontId="5" numFmtId="0" xfId="0" applyAlignment="1" applyBorder="1" applyFill="1" applyFont="1">
      <alignment readingOrder="0" shrinkToFit="0" vertical="center" wrapText="0"/>
    </xf>
    <xf borderId="1" fillId="7" fontId="5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5" fillId="6" fontId="5" numFmtId="0" xfId="0" applyAlignment="1" applyBorder="1" applyFont="1">
      <alignment readingOrder="0" shrinkToFit="0" vertical="center" wrapText="0"/>
    </xf>
    <xf borderId="1" fillId="4" fontId="12" numFmtId="0" xfId="0" applyAlignment="1" applyBorder="1" applyFont="1">
      <alignment readingOrder="0" shrinkToFit="0" vertical="center" wrapText="0"/>
    </xf>
    <xf borderId="5" fillId="8" fontId="5" numFmtId="0" xfId="0" applyAlignment="1" applyBorder="1" applyFill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0" fillId="4" fontId="12" numFmtId="0" xfId="0" applyAlignment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5" fillId="7" fontId="5" numFmtId="0" xfId="0" applyAlignment="1" applyBorder="1" applyFont="1">
      <alignment readingOrder="0" shrinkToFit="0" vertical="center" wrapText="0"/>
    </xf>
    <xf borderId="2" fillId="7" fontId="5" numFmtId="0" xfId="0" applyAlignment="1" applyBorder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9" fontId="27" numFmtId="0" xfId="0" applyAlignment="1" applyFill="1" applyFont="1">
      <alignment horizontal="center" readingOrder="0"/>
    </xf>
    <xf borderId="0" fillId="0" fontId="3" numFmtId="0" xfId="0" applyAlignment="1" applyFont="1">
      <alignment readingOrder="0" shrinkToFit="0" vertical="center" wrapText="1"/>
    </xf>
    <xf borderId="0" fillId="0" fontId="2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0"/>
    </xf>
    <xf borderId="0" fillId="10" fontId="30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991D79"/>
          <bgColor rgb="FF991D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91D79"/>
        </left>
        <right style="thin">
          <color rgb="FF991D79"/>
        </right>
        <top style="thin">
          <color rgb="FF991D79"/>
        </top>
        <bottom style="thin">
          <color rgb="FF991D79"/>
        </bottom>
      </border>
    </dxf>
    <dxf>
      <font/>
      <fill>
        <patternFill patternType="solid">
          <fgColor rgb="FF26BFB8"/>
          <bgColor rgb="FF26BFB8"/>
        </patternFill>
      </fill>
      <border/>
    </dxf>
    <dxf>
      <font/>
      <fill>
        <patternFill patternType="solid">
          <fgColor rgb="FFFC794D"/>
          <bgColor rgb="FFFC794D"/>
        </patternFill>
      </fill>
      <border/>
    </dxf>
    <dxf>
      <font/>
      <fill>
        <patternFill patternType="solid">
          <fgColor rgb="FFEB3B81"/>
          <bgColor rgb="FFEB3B81"/>
        </patternFill>
      </fill>
      <border/>
    </dxf>
  </dxfs>
  <tableStyles count="4">
    <tableStyle count="4" pivot="0" name="solutions_d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pirations_db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ncepts_db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disconnected_db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58" displayName="solutions_db" name="solutions_db" id="1">
  <autoFilter ref="$A$1:$AB$58"/>
  <tableColumns count="28">
    <tableColumn name="id" id="1"/>
    <tableColumn name="nombre" id="2"/>
    <tableColumn name="encabezado" id="3"/>
    <tableColumn name="name" id="4"/>
    <tableColumn name="tipo" id="5"/>
    <tableColumn name="estado" id="6"/>
    <tableColumn name="autor" id="7"/>
    <tableColumn name="responsable" id="8"/>
    <tableColumn name="tags" id="9"/>
    <tableColumn name="ayudantes" id="10"/>
    <tableColumn name="costo" id="11"/>
    <tableColumn name="dificultad" id="12"/>
    <tableColumn name="tarda" id="13"/>
    <tableColumn name="permite" id="14"/>
    <tableColumn name="notas de forma" id="15"/>
    <tableColumn name="notas de contenido" id="16"/>
    <tableColumn name="Link estatico" id="17"/>
    <tableColumn name="impacto/sostenibilidad" id="18"/>
    <tableColumn name="impacto/personas" id="19"/>
    <tableColumn name="pilar/dispositivos" id="20"/>
    <tableColumn name="pilar/electricidad" id="21"/>
    <tableColumn name="pilar/espacio" id="22"/>
    <tableColumn name="pilar/personas" id="23"/>
    <tableColumn name="pilar/senal" id="24"/>
    <tableColumn name="recursos/dificultad" id="25"/>
    <tableColumn name="recursos/dinero" id="26"/>
    <tableColumn name="recursos/personas" id="27"/>
    <tableColumn name="recursos/tiempo" id="28"/>
  </tableColumns>
  <tableStyleInfo name="solutions_db-style" showColumnStripes="0" showFirstColumn="1" showLastColumn="1" showRowStripes="1"/>
</table>
</file>

<file path=xl/tables/table2.xml><?xml version="1.0" encoding="utf-8"?>
<table xmlns="http://schemas.openxmlformats.org/spreadsheetml/2006/main" ref="A1:P70" displayName="inspirations_db" name="inspirations_db" id="2">
  <tableColumns count="16">
    <tableColumn name="id" id="1"/>
    <tableColumn name="nombre" id="2"/>
    <tableColumn name="encabezado" id="3"/>
    <tableColumn name="name" id="4"/>
    <tableColumn name="tipo" id="5"/>
    <tableColumn name="estado" id="6"/>
    <tableColumn name="autor" id="7"/>
    <tableColumn name="responsable" id="8"/>
    <tableColumn name="tags" id="9"/>
    <tableColumn name="notas de forma" id="10"/>
    <tableColumn name="notas de contenido" id="11"/>
    <tableColumn name="videos" id="12"/>
    <tableColumn name="video comp 1" id="13"/>
    <tableColumn name="video comp 2" id="14"/>
    <tableColumn name="Columna 1" id="15"/>
    <tableColumn name="Columna 2" id="16"/>
  </tableColumns>
  <tableStyleInfo name="inspirations_db-style" showColumnStripes="0" showFirstColumn="1" showLastColumn="1" showRowStripes="1"/>
</table>
</file>

<file path=xl/tables/table3.xml><?xml version="1.0" encoding="utf-8"?>
<table xmlns="http://schemas.openxmlformats.org/spreadsheetml/2006/main" ref="A1:K61" displayName="concepts_db" name="concepts_db" id="3">
  <tableColumns count="11">
    <tableColumn name="id" id="1"/>
    <tableColumn name="nombre" id="2"/>
    <tableColumn name="name" id="3"/>
    <tableColumn name="encabezado" id="4"/>
    <tableColumn name="tipo" id="5"/>
    <tableColumn name="estado" id="6"/>
    <tableColumn name="autor" id="7"/>
    <tableColumn name="responsable" id="8"/>
    <tableColumn name="tags" id="9"/>
    <tableColumn name="notas de forma" id="10"/>
    <tableColumn name="notas de contenido" id="11"/>
  </tableColumns>
  <tableStyleInfo name="concepts_db-style" showColumnStripes="0" showFirstColumn="1" showLastColumn="1" showRowStripes="1"/>
</table>
</file>

<file path=xl/tables/table4.xml><?xml version="1.0" encoding="utf-8"?>
<table xmlns="http://schemas.openxmlformats.org/spreadsheetml/2006/main" ref="A1:L61" displayName="disconnected_db" name="disconnected_db" id="4">
  <tableColumns count="12">
    <tableColumn name="id" id="1"/>
    <tableColumn name="nombre" id="2"/>
    <tableColumn name="encabezado" id="3"/>
    <tableColumn name="tipo" id="4"/>
    <tableColumn name="estado" id="5"/>
    <tableColumn name="autor" id="6"/>
    <tableColumn name="responsable" id="7"/>
    <tableColumn name="tags" id="8"/>
    <tableColumn name="permite" id="9"/>
    <tableColumn name="notas de forma" id="10"/>
    <tableColumn name="notas de contenido" id="11"/>
    <tableColumn name="ultima actualizacion" id="12"/>
  </tableColumns>
  <tableStyleInfo name="disconnected_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embed/ZpUN9LbnZII?si=CmMr0DIebNjdv-8o" TargetMode="External"/><Relationship Id="rId22" Type="http://schemas.openxmlformats.org/officeDocument/2006/relationships/hyperlink" Target="https://youtu.be/KfqYS1dcU38" TargetMode="External"/><Relationship Id="rId21" Type="http://schemas.openxmlformats.org/officeDocument/2006/relationships/hyperlink" Target="https://www.youtube.com/embed/-pzJU_1JVjY?si=UhnUqG4DQXHI8UXG" TargetMode="External"/><Relationship Id="rId24" Type="http://schemas.openxmlformats.org/officeDocument/2006/relationships/hyperlink" Target="https://youtu.be/MpZokrLn9ng" TargetMode="External"/><Relationship Id="rId23" Type="http://schemas.openxmlformats.org/officeDocument/2006/relationships/hyperlink" Target="https://youtu.be/kuiF8EUP9fE" TargetMode="External"/><Relationship Id="rId1" Type="http://schemas.openxmlformats.org/officeDocument/2006/relationships/hyperlink" Target="https://www.youtube.com/embed/AAWEB6Vr50g" TargetMode="External"/><Relationship Id="rId2" Type="http://schemas.openxmlformats.org/officeDocument/2006/relationships/hyperlink" Target="https://www.youtube.com/embed/-Rg8bLTbS1Y" TargetMode="External"/><Relationship Id="rId3" Type="http://schemas.openxmlformats.org/officeDocument/2006/relationships/hyperlink" Target="https://www.youtube.com/embed/fTIvEZpeTy4" TargetMode="External"/><Relationship Id="rId4" Type="http://schemas.openxmlformats.org/officeDocument/2006/relationships/hyperlink" Target="https://www.youtube.com/embed/Fox3N4QHVN4" TargetMode="External"/><Relationship Id="rId9" Type="http://schemas.openxmlformats.org/officeDocument/2006/relationships/hyperlink" Target="https://www.youtube.com/embed/1udzbfKgNVE?si=wNV0qIZAgcpMlj-i" TargetMode="External"/><Relationship Id="rId26" Type="http://schemas.openxmlformats.org/officeDocument/2006/relationships/hyperlink" Target="https://www.youtube.com/embed/4Yw_6DQ_v6A?si=5ZyUJgVOd6Z3V6Cd" TargetMode="External"/><Relationship Id="rId25" Type="http://schemas.openxmlformats.org/officeDocument/2006/relationships/hyperlink" Target="https://www.youtube.com/embed/gNCNCU6sQL0?si=YxaU5p30-ab4uqoe" TargetMode="External"/><Relationship Id="rId28" Type="http://schemas.openxmlformats.org/officeDocument/2006/relationships/hyperlink" Target="https://www.youtube.com/embed/U7E0c2SmtS8?si=iH9JFYY5LMpiBXHr" TargetMode="External"/><Relationship Id="rId27" Type="http://schemas.openxmlformats.org/officeDocument/2006/relationships/hyperlink" Target="https://www.youtube.com/embed/3HbR-ND3LFM?si=oNOOsNWhXi0iOvnO" TargetMode="External"/><Relationship Id="rId5" Type="http://schemas.openxmlformats.org/officeDocument/2006/relationships/hyperlink" Target="https://www.youtube.com/embed/-RRzZSddDeg?si=23QI-C7PEm7_ttml" TargetMode="External"/><Relationship Id="rId6" Type="http://schemas.openxmlformats.org/officeDocument/2006/relationships/hyperlink" Target="https://www.youtube.com/embed/im4zjtecU9I?si=TWHD9I7gojUUIPu4" TargetMode="External"/><Relationship Id="rId29" Type="http://schemas.openxmlformats.org/officeDocument/2006/relationships/hyperlink" Target="https://www.youtube.com/embed/gFWwKLrasDo?si=6RWE7laRikOQJSoV" TargetMode="External"/><Relationship Id="rId7" Type="http://schemas.openxmlformats.org/officeDocument/2006/relationships/hyperlink" Target="https://www.youtube.com/embed/d83Py5QEgDs?si=fJdMHxDn--f15hR4" TargetMode="External"/><Relationship Id="rId8" Type="http://schemas.openxmlformats.org/officeDocument/2006/relationships/hyperlink" Target="https://www.youtube.com/embed/dgvFpUhsfjw?si=Iqltpzy60H62VX1B" TargetMode="External"/><Relationship Id="rId31" Type="http://schemas.openxmlformats.org/officeDocument/2006/relationships/hyperlink" Target="https://www.youtube.com/embed/JfFdzgHIWqk" TargetMode="External"/><Relationship Id="rId30" Type="http://schemas.openxmlformats.org/officeDocument/2006/relationships/hyperlink" Target="https://www.youtube.com/embed/bNakrhUveBU" TargetMode="External"/><Relationship Id="rId11" Type="http://schemas.openxmlformats.org/officeDocument/2006/relationships/hyperlink" Target="https://www.youtube.com/embed/1kI6AR2gMTE?si=g8-iokIz0UsSZ9gp" TargetMode="External"/><Relationship Id="rId33" Type="http://schemas.openxmlformats.org/officeDocument/2006/relationships/hyperlink" Target="https://www.youtube.com/embed/F50DtSwJ0cQ" TargetMode="External"/><Relationship Id="rId10" Type="http://schemas.openxmlformats.org/officeDocument/2006/relationships/hyperlink" Target="https://www.youtube.com/embed/Mze30kwUtp0?si=tX-Chw-U3VM4Fq5c" TargetMode="External"/><Relationship Id="rId32" Type="http://schemas.openxmlformats.org/officeDocument/2006/relationships/hyperlink" Target="http://www.youtube.com/embed/mv24dQOpbFM?si=gJ4BSfbe33XJb9NG" TargetMode="External"/><Relationship Id="rId13" Type="http://schemas.openxmlformats.org/officeDocument/2006/relationships/hyperlink" Target="https://youtu.be/8TQMVDFO88w" TargetMode="External"/><Relationship Id="rId12" Type="http://schemas.openxmlformats.org/officeDocument/2006/relationships/hyperlink" Target="https://youtu.be/r8OSAMx3muY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www.youtube.com/embed/x9xiuvhx1vw?si=rF6NQQzpRdJBFCcP" TargetMode="External"/><Relationship Id="rId14" Type="http://schemas.openxmlformats.org/officeDocument/2006/relationships/hyperlink" Target="https://youtube.com/shorts/Fc_KbyQqcQE?si=_iiVzsc9pSJVcyKv" TargetMode="External"/><Relationship Id="rId36" Type="http://schemas.openxmlformats.org/officeDocument/2006/relationships/table" Target="../tables/table2.xml"/><Relationship Id="rId17" Type="http://schemas.openxmlformats.org/officeDocument/2006/relationships/hyperlink" Target="https://www.youtube.com/embed/ZpUN9LbnZII?si=CmMr0DIebNjdv-8o%22" TargetMode="External"/><Relationship Id="rId16" Type="http://schemas.openxmlformats.org/officeDocument/2006/relationships/hyperlink" Target="https://www.youtube.com/embed/dxaLamDlGaE?si=Qnnk4YQzGlXnofWM" TargetMode="External"/><Relationship Id="rId19" Type="http://schemas.openxmlformats.org/officeDocument/2006/relationships/hyperlink" Target="https://www.youtube.com/embed/uapZNmZ3RQU?si=JRUmSmIM13IG9TKp" TargetMode="External"/><Relationship Id="rId18" Type="http://schemas.openxmlformats.org/officeDocument/2006/relationships/hyperlink" Target="https://www.youtube.com/embed/-pzJU_1JVjY?si=UhnUqG4DQXHI8UX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ole-colombia.github.io/voltaje/es/solve/?solve_cats=Electricidad" TargetMode="External"/><Relationship Id="rId2" Type="http://schemas.openxmlformats.org/officeDocument/2006/relationships/hyperlink" Target="https://sole-colombia.github.io/voltaje/es/inspire/insp-what-is-internet" TargetMode="External"/><Relationship Id="rId3" Type="http://schemas.openxmlformats.org/officeDocument/2006/relationships/hyperlink" Target="https://sole-colombia.github.io/voltaje/es/solve/?solve_cats=Se%C3%B1al" TargetMode="External"/><Relationship Id="rId4" Type="http://schemas.openxmlformats.org/officeDocument/2006/relationships/hyperlink" Target="https://sole-colombia.github.io/voltaje/es/solve/solv-jangala-internet-box" TargetMode="External"/><Relationship Id="rId9" Type="http://schemas.openxmlformats.org/officeDocument/2006/relationships/hyperlink" Target="https://sole-colombia.github.io/voltaje/es/solve/?solve_cats=Dispositivos" TargetMode="External"/><Relationship Id="rId5" Type="http://schemas.openxmlformats.org/officeDocument/2006/relationships/hyperlink" Target="https://sole-colombia.github.io/voltaje/es/solve/?solve_cats=Espacios" TargetMode="External"/><Relationship Id="rId6" Type="http://schemas.openxmlformats.org/officeDocument/2006/relationships/hyperlink" Target="https://sole-colombia.github.io/voltaje/es/inspire/insp-internet-in-group" TargetMode="External"/><Relationship Id="rId7" Type="http://schemas.openxmlformats.org/officeDocument/2006/relationships/hyperlink" Target="https://sole-colombia.github.io/voltaje/es/solve/?solve_cats=Personas" TargetMode="External"/><Relationship Id="rId8" Type="http://schemas.openxmlformats.org/officeDocument/2006/relationships/hyperlink" Target="https://sole-colombia.github.io/voltaje/es/inspire/insp-sharing-your-internet" TargetMode="External"/><Relationship Id="rId11" Type="http://schemas.openxmlformats.org/officeDocument/2006/relationships/hyperlink" Target="https://sole-colombia.github.io/voltaje/es/disconnected" TargetMode="External"/><Relationship Id="rId10" Type="http://schemas.openxmlformats.org/officeDocument/2006/relationships/hyperlink" Target="https://sole-colombia.github.io/voltaje/es/solve/solv-improve-signal-can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sole-colombia.github.io/voltaje/es/inspire?inspire_tags=historias-pote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13"/>
    <col customWidth="1" min="2" max="2" width="61.25"/>
    <col customWidth="1" min="3" max="3" width="33.13"/>
    <col customWidth="1" hidden="1" min="4" max="4" width="17.0"/>
    <col customWidth="1" min="5" max="5" width="11.88"/>
    <col customWidth="1" min="6" max="8" width="16.63"/>
    <col customWidth="1" min="9" max="9" width="32.13"/>
    <col customWidth="1" min="10" max="10" width="16.63"/>
    <col customWidth="1" min="11" max="11" width="16.75"/>
    <col customWidth="1" min="12" max="12" width="17.13"/>
    <col customWidth="1" min="13" max="13" width="15.75"/>
    <col customWidth="1" min="14" max="14" width="21.63"/>
    <col customWidth="1" min="15" max="15" width="25.5"/>
    <col customWidth="1" min="16" max="16" width="27.38"/>
    <col customWidth="1" min="17" max="17" width="55.13"/>
    <col customWidth="1" hidden="1" min="18" max="18" width="19.88"/>
    <col customWidth="1" hidden="1" min="19" max="19" width="16.13"/>
    <col customWidth="1" hidden="1" min="20" max="20" width="17.38"/>
    <col customWidth="1" hidden="1" min="21" max="21" width="13.88"/>
    <col customWidth="1" hidden="1" min="22" max="22" width="18.5"/>
    <col customWidth="1" hidden="1" min="23" max="23" width="21.75"/>
    <col customWidth="1" hidden="1" min="24" max="24" width="21.5"/>
    <col customWidth="1" hidden="1" min="25" max="25" width="19.5"/>
    <col customWidth="1" hidden="1" min="26" max="26" width="22.13"/>
    <col customWidth="1" hidden="1" min="27" max="27" width="11.88"/>
    <col customWidth="1" hidden="1" min="28" max="28" width="22.38"/>
    <col customWidth="1" min="29" max="29" width="13.0"/>
  </cols>
  <sheetData>
    <row r="1" ht="20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ht="20.25" customHeight="1">
      <c r="A2" s="6" t="s">
        <v>28</v>
      </c>
      <c r="B2" s="7" t="s">
        <v>29</v>
      </c>
      <c r="C2" s="8"/>
      <c r="E2" s="9" t="s">
        <v>30</v>
      </c>
      <c r="F2" s="10" t="s">
        <v>31</v>
      </c>
      <c r="G2" s="11" t="s">
        <v>32</v>
      </c>
      <c r="H2" s="12" t="s">
        <v>33</v>
      </c>
      <c r="I2" s="13" t="s">
        <v>34</v>
      </c>
      <c r="J2" s="14"/>
      <c r="K2" s="14"/>
      <c r="L2" s="14"/>
      <c r="M2" s="14"/>
      <c r="N2" s="15"/>
      <c r="Q2" s="16" t="str">
        <f t="shared" ref="Q2:Q58" si="1">"https://voltaje.solecolombia.org/"&amp;A2</f>
        <v>https://voltaje.solecolombia.org/solv-agree-with-neighbors</v>
      </c>
      <c r="Z2" s="17"/>
      <c r="AB2" s="17"/>
    </row>
    <row r="3" ht="20.25" customHeight="1">
      <c r="A3" s="9" t="s">
        <v>35</v>
      </c>
      <c r="B3" s="11" t="s">
        <v>36</v>
      </c>
      <c r="C3" s="11" t="s">
        <v>37</v>
      </c>
      <c r="D3" s="9" t="s">
        <v>38</v>
      </c>
      <c r="E3" s="9" t="s">
        <v>30</v>
      </c>
      <c r="F3" s="18" t="s">
        <v>39</v>
      </c>
      <c r="G3" s="11" t="s">
        <v>32</v>
      </c>
      <c r="H3" s="19" t="s">
        <v>40</v>
      </c>
      <c r="I3" s="20" t="s">
        <v>41</v>
      </c>
      <c r="J3" s="19" t="s">
        <v>42</v>
      </c>
      <c r="K3" s="19" t="s">
        <v>43</v>
      </c>
      <c r="L3" s="19" t="s">
        <v>44</v>
      </c>
      <c r="M3" s="19" t="s">
        <v>45</v>
      </c>
      <c r="N3" s="21" t="s">
        <v>46</v>
      </c>
      <c r="O3" s="9" t="s">
        <v>47</v>
      </c>
      <c r="P3" s="9"/>
      <c r="Q3" s="16" t="str">
        <f t="shared" si="1"/>
        <v>https://voltaje.solecolombia.org/solv-ally-with-places</v>
      </c>
      <c r="R3" s="9"/>
      <c r="S3" s="9"/>
      <c r="T3" s="9"/>
      <c r="U3" s="9"/>
      <c r="V3" s="9"/>
      <c r="W3" s="9"/>
      <c r="X3" s="9"/>
      <c r="Y3" s="9"/>
      <c r="Z3" s="22"/>
      <c r="AA3" s="9"/>
      <c r="AB3" s="22"/>
    </row>
    <row r="4" ht="20.25" customHeight="1">
      <c r="A4" s="9" t="s">
        <v>48</v>
      </c>
      <c r="B4" s="9" t="s">
        <v>49</v>
      </c>
      <c r="C4" s="11" t="s">
        <v>50</v>
      </c>
      <c r="D4" s="9" t="s">
        <v>51</v>
      </c>
      <c r="E4" s="9" t="s">
        <v>30</v>
      </c>
      <c r="F4" s="18" t="s">
        <v>39</v>
      </c>
      <c r="G4" s="11" t="s">
        <v>32</v>
      </c>
      <c r="H4" s="19" t="s">
        <v>52</v>
      </c>
      <c r="I4" s="20" t="s">
        <v>53</v>
      </c>
      <c r="J4" s="23" t="s">
        <v>54</v>
      </c>
      <c r="K4" s="19" t="s">
        <v>55</v>
      </c>
      <c r="L4" s="19" t="s">
        <v>44</v>
      </c>
      <c r="M4" s="19" t="s">
        <v>56</v>
      </c>
      <c r="N4" s="21" t="s">
        <v>57</v>
      </c>
      <c r="O4" s="9" t="s">
        <v>58</v>
      </c>
      <c r="P4" s="9"/>
      <c r="Q4" s="16" t="str">
        <f t="shared" si="1"/>
        <v>https://voltaje.solecolombia.org/solv-bandwidth</v>
      </c>
      <c r="R4" s="9" t="s">
        <v>59</v>
      </c>
      <c r="S4" s="9">
        <v>4.0</v>
      </c>
      <c r="T4" s="9" t="s">
        <v>60</v>
      </c>
      <c r="U4" s="9" t="s">
        <v>61</v>
      </c>
      <c r="V4" s="9" t="s">
        <v>62</v>
      </c>
      <c r="W4" s="9" t="s">
        <v>63</v>
      </c>
      <c r="X4" s="9" t="s">
        <v>64</v>
      </c>
      <c r="Y4" s="9"/>
      <c r="Z4" s="22" t="s">
        <v>65</v>
      </c>
      <c r="AA4" s="9" t="s">
        <v>66</v>
      </c>
      <c r="AB4" s="22" t="s">
        <v>67</v>
      </c>
    </row>
    <row r="5" ht="20.25" customHeight="1">
      <c r="A5" s="9" t="s">
        <v>68</v>
      </c>
      <c r="B5" s="11" t="s">
        <v>69</v>
      </c>
      <c r="C5" s="11" t="s">
        <v>70</v>
      </c>
      <c r="D5" s="9" t="s">
        <v>71</v>
      </c>
      <c r="E5" s="9" t="s">
        <v>30</v>
      </c>
      <c r="F5" s="18" t="s">
        <v>39</v>
      </c>
      <c r="G5" s="11" t="s">
        <v>32</v>
      </c>
      <c r="H5" s="19" t="s">
        <v>72</v>
      </c>
      <c r="I5" s="11" t="s">
        <v>73</v>
      </c>
      <c r="J5" s="23" t="s">
        <v>54</v>
      </c>
      <c r="K5" s="19" t="s">
        <v>74</v>
      </c>
      <c r="L5" s="19" t="s">
        <v>75</v>
      </c>
      <c r="M5" s="19" t="s">
        <v>45</v>
      </c>
      <c r="N5" s="21" t="s">
        <v>76</v>
      </c>
      <c r="O5" s="9"/>
      <c r="P5" s="9"/>
      <c r="Q5" s="16" t="str">
        <f t="shared" si="1"/>
        <v>https://voltaje.solecolombia.org/solv-bicigenerator</v>
      </c>
      <c r="R5" s="9" t="s">
        <v>77</v>
      </c>
      <c r="S5" s="9">
        <v>10.0</v>
      </c>
      <c r="T5" s="9" t="s">
        <v>60</v>
      </c>
      <c r="U5" s="9" t="s">
        <v>78</v>
      </c>
      <c r="V5" s="9" t="s">
        <v>62</v>
      </c>
      <c r="W5" s="9" t="s">
        <v>79</v>
      </c>
      <c r="X5" s="9" t="s">
        <v>80</v>
      </c>
      <c r="Y5" s="9"/>
      <c r="Z5" s="22" t="s">
        <v>81</v>
      </c>
      <c r="AA5" s="9" t="s">
        <v>82</v>
      </c>
      <c r="AB5" s="22" t="s">
        <v>83</v>
      </c>
    </row>
    <row r="6" ht="20.25" customHeight="1">
      <c r="A6" s="24" t="s">
        <v>84</v>
      </c>
      <c r="B6" s="9" t="s">
        <v>85</v>
      </c>
      <c r="C6" s="11" t="s">
        <v>86</v>
      </c>
      <c r="D6" s="9" t="s">
        <v>87</v>
      </c>
      <c r="E6" s="9" t="s">
        <v>30</v>
      </c>
      <c r="F6" s="18" t="s">
        <v>39</v>
      </c>
      <c r="G6" s="11" t="s">
        <v>32</v>
      </c>
      <c r="H6" s="19" t="s">
        <v>72</v>
      </c>
      <c r="I6" s="20" t="s">
        <v>53</v>
      </c>
      <c r="J6" s="23" t="s">
        <v>88</v>
      </c>
      <c r="K6" s="19" t="s">
        <v>43</v>
      </c>
      <c r="L6" s="23" t="s">
        <v>75</v>
      </c>
      <c r="M6" s="19" t="s">
        <v>56</v>
      </c>
      <c r="N6" s="21" t="s">
        <v>89</v>
      </c>
      <c r="O6" s="9" t="s">
        <v>90</v>
      </c>
      <c r="P6" s="9"/>
      <c r="Q6" s="16" t="str">
        <f t="shared" si="1"/>
        <v>https://voltaje.solecolombia.org/solv-build-3Gantenna</v>
      </c>
      <c r="R6" s="9"/>
      <c r="S6" s="9"/>
      <c r="T6" s="9"/>
      <c r="U6" s="9"/>
      <c r="V6" s="9"/>
      <c r="W6" s="9"/>
      <c r="X6" s="9"/>
      <c r="Y6" s="9"/>
      <c r="Z6" s="22"/>
      <c r="AA6" s="9"/>
      <c r="AB6" s="22"/>
    </row>
    <row r="7" ht="20.25" customHeight="1">
      <c r="A7" s="9" t="s">
        <v>91</v>
      </c>
      <c r="B7" s="9" t="s">
        <v>92</v>
      </c>
      <c r="C7" s="11" t="s">
        <v>93</v>
      </c>
      <c r="D7" s="9" t="s">
        <v>94</v>
      </c>
      <c r="E7" s="9" t="s">
        <v>30</v>
      </c>
      <c r="F7" s="18" t="s">
        <v>39</v>
      </c>
      <c r="G7" s="11" t="s">
        <v>32</v>
      </c>
      <c r="H7" s="19" t="s">
        <v>72</v>
      </c>
      <c r="I7" s="20" t="s">
        <v>95</v>
      </c>
      <c r="J7" s="19" t="s">
        <v>42</v>
      </c>
      <c r="K7" s="19" t="s">
        <v>74</v>
      </c>
      <c r="L7" s="19" t="s">
        <v>96</v>
      </c>
      <c r="M7" s="19" t="s">
        <v>56</v>
      </c>
      <c r="N7" s="21" t="s">
        <v>76</v>
      </c>
      <c r="O7" s="9" t="s">
        <v>97</v>
      </c>
      <c r="P7" s="9"/>
      <c r="Q7" s="16" t="str">
        <f t="shared" si="1"/>
        <v>https://voltaje.solecolombia.org/solv-buy-cellphone</v>
      </c>
      <c r="R7" s="9" t="s">
        <v>98</v>
      </c>
      <c r="S7" s="9">
        <v>1.0</v>
      </c>
      <c r="T7" s="9" t="s">
        <v>99</v>
      </c>
      <c r="U7" s="9" t="s">
        <v>61</v>
      </c>
      <c r="V7" s="9" t="s">
        <v>62</v>
      </c>
      <c r="W7" s="9" t="s">
        <v>63</v>
      </c>
      <c r="X7" s="9" t="s">
        <v>80</v>
      </c>
      <c r="Y7" s="9"/>
      <c r="Z7" s="22" t="s">
        <v>100</v>
      </c>
      <c r="AA7" s="9" t="s">
        <v>101</v>
      </c>
      <c r="AB7" s="22" t="s">
        <v>67</v>
      </c>
    </row>
    <row r="8" ht="20.25" customHeight="1">
      <c r="A8" s="9" t="s">
        <v>102</v>
      </c>
      <c r="B8" s="11" t="s">
        <v>103</v>
      </c>
      <c r="C8" s="11" t="s">
        <v>104</v>
      </c>
      <c r="D8" s="9" t="s">
        <v>105</v>
      </c>
      <c r="E8" s="9" t="s">
        <v>30</v>
      </c>
      <c r="F8" s="18" t="s">
        <v>39</v>
      </c>
      <c r="G8" s="11" t="s">
        <v>32</v>
      </c>
      <c r="H8" s="19" t="s">
        <v>72</v>
      </c>
      <c r="I8" s="20" t="s">
        <v>95</v>
      </c>
      <c r="J8" s="19" t="s">
        <v>42</v>
      </c>
      <c r="K8" s="19" t="s">
        <v>55</v>
      </c>
      <c r="L8" s="19" t="s">
        <v>96</v>
      </c>
      <c r="M8" s="19" t="s">
        <v>56</v>
      </c>
      <c r="N8" s="21" t="s">
        <v>76</v>
      </c>
      <c r="O8" s="9"/>
      <c r="P8" s="9"/>
      <c r="Q8" s="16" t="str">
        <f t="shared" si="1"/>
        <v>https://voltaje.solecolombia.org/solv-buy-computer</v>
      </c>
      <c r="R8" s="9" t="s">
        <v>98</v>
      </c>
      <c r="S8" s="9">
        <v>3.0</v>
      </c>
      <c r="T8" s="9" t="s">
        <v>106</v>
      </c>
      <c r="U8" s="9"/>
      <c r="V8" s="9" t="s">
        <v>62</v>
      </c>
      <c r="W8" s="9" t="s">
        <v>63</v>
      </c>
      <c r="X8" s="9" t="s">
        <v>80</v>
      </c>
      <c r="Y8" s="9" t="s">
        <v>107</v>
      </c>
      <c r="Z8" s="22" t="s">
        <v>100</v>
      </c>
      <c r="AA8" s="9"/>
      <c r="AB8" s="22" t="s">
        <v>108</v>
      </c>
    </row>
    <row r="9" ht="20.25" customHeight="1">
      <c r="A9" s="9" t="s">
        <v>109</v>
      </c>
      <c r="B9" s="11" t="s">
        <v>110</v>
      </c>
      <c r="C9" s="11" t="s">
        <v>111</v>
      </c>
      <c r="D9" s="9" t="s">
        <v>112</v>
      </c>
      <c r="E9" s="9" t="s">
        <v>30</v>
      </c>
      <c r="F9" s="18" t="s">
        <v>39</v>
      </c>
      <c r="G9" s="11" t="s">
        <v>32</v>
      </c>
      <c r="H9" s="19" t="s">
        <v>72</v>
      </c>
      <c r="I9" s="21" t="s">
        <v>113</v>
      </c>
      <c r="J9" s="19" t="s">
        <v>42</v>
      </c>
      <c r="K9" s="19" t="s">
        <v>74</v>
      </c>
      <c r="L9" s="19" t="s">
        <v>44</v>
      </c>
      <c r="M9" s="19" t="s">
        <v>114</v>
      </c>
      <c r="N9" s="21" t="s">
        <v>76</v>
      </c>
      <c r="O9" s="9" t="s">
        <v>115</v>
      </c>
      <c r="P9" s="9"/>
      <c r="Q9" s="16" t="str">
        <f t="shared" si="1"/>
        <v>https://voltaje.solecolombia.org/solv-buy-phone-plan</v>
      </c>
      <c r="R9" s="9" t="s">
        <v>59</v>
      </c>
      <c r="S9" s="9"/>
      <c r="T9" s="9"/>
      <c r="U9" s="9"/>
      <c r="V9" s="9"/>
      <c r="W9" s="9"/>
      <c r="X9" s="9"/>
      <c r="Y9" s="9"/>
      <c r="Z9" s="22"/>
      <c r="AA9" s="9"/>
      <c r="AB9" s="22"/>
    </row>
    <row r="10" ht="20.25" customHeight="1">
      <c r="A10" s="9" t="s">
        <v>116</v>
      </c>
      <c r="B10" s="9" t="s">
        <v>117</v>
      </c>
      <c r="C10" s="11" t="s">
        <v>118</v>
      </c>
      <c r="D10" s="9" t="s">
        <v>119</v>
      </c>
      <c r="E10" s="9" t="s">
        <v>30</v>
      </c>
      <c r="F10" s="18" t="s">
        <v>39</v>
      </c>
      <c r="G10" s="11" t="s">
        <v>32</v>
      </c>
      <c r="H10" s="19" t="s">
        <v>72</v>
      </c>
      <c r="I10" s="11" t="s">
        <v>53</v>
      </c>
      <c r="J10" s="23" t="s">
        <v>120</v>
      </c>
      <c r="K10" s="19" t="s">
        <v>55</v>
      </c>
      <c r="L10" s="19" t="s">
        <v>44</v>
      </c>
      <c r="M10" s="19" t="s">
        <v>56</v>
      </c>
      <c r="N10" s="21" t="s">
        <v>76</v>
      </c>
      <c r="O10" s="9" t="s">
        <v>47</v>
      </c>
      <c r="P10" s="9"/>
      <c r="Q10" s="16" t="str">
        <f t="shared" si="1"/>
        <v>https://voltaje.solecolombia.org/solv-buy-satellite-antenna</v>
      </c>
      <c r="R10" s="9" t="s">
        <v>98</v>
      </c>
      <c r="S10" s="9">
        <v>100.0</v>
      </c>
      <c r="T10" s="9" t="s">
        <v>60</v>
      </c>
      <c r="U10" s="9"/>
      <c r="V10" s="9" t="s">
        <v>121</v>
      </c>
      <c r="W10" s="9" t="s">
        <v>63</v>
      </c>
      <c r="X10" s="9" t="s">
        <v>64</v>
      </c>
      <c r="Y10" s="9" t="s">
        <v>122</v>
      </c>
      <c r="Z10" s="22" t="s">
        <v>123</v>
      </c>
      <c r="AA10" s="9"/>
      <c r="AB10" s="22" t="s">
        <v>108</v>
      </c>
    </row>
    <row r="11" ht="20.25" customHeight="1">
      <c r="A11" s="9" t="s">
        <v>124</v>
      </c>
      <c r="B11" s="11" t="s">
        <v>125</v>
      </c>
      <c r="C11" s="11" t="s">
        <v>126</v>
      </c>
      <c r="D11" s="9" t="s">
        <v>127</v>
      </c>
      <c r="E11" s="9" t="s">
        <v>30</v>
      </c>
      <c r="F11" s="18" t="s">
        <v>39</v>
      </c>
      <c r="G11" s="11" t="s">
        <v>32</v>
      </c>
      <c r="H11" s="25" t="s">
        <v>72</v>
      </c>
      <c r="I11" s="11" t="s">
        <v>53</v>
      </c>
      <c r="J11" s="23" t="s">
        <v>42</v>
      </c>
      <c r="K11" s="23" t="s">
        <v>55</v>
      </c>
      <c r="L11" s="23" t="s">
        <v>44</v>
      </c>
      <c r="M11" s="19" t="s">
        <v>56</v>
      </c>
      <c r="N11" s="21" t="s">
        <v>57</v>
      </c>
      <c r="O11" s="9" t="s">
        <v>124</v>
      </c>
      <c r="P11" s="9" t="s">
        <v>128</v>
      </c>
      <c r="Q11" s="16" t="str">
        <f t="shared" si="1"/>
        <v>https://voltaje.solecolombia.org/solv-choose-satellite-internet</v>
      </c>
      <c r="R11" s="9"/>
      <c r="S11" s="9"/>
      <c r="T11" s="9"/>
      <c r="U11" s="9"/>
      <c r="V11" s="9"/>
      <c r="W11" s="9"/>
      <c r="X11" s="9"/>
      <c r="Y11" s="9"/>
      <c r="Z11" s="22"/>
      <c r="AA11" s="9"/>
      <c r="AB11" s="22"/>
    </row>
    <row r="12" ht="20.25" customHeight="1">
      <c r="A12" s="9" t="s">
        <v>129</v>
      </c>
      <c r="B12" s="11" t="s">
        <v>130</v>
      </c>
      <c r="C12" s="11" t="s">
        <v>131</v>
      </c>
      <c r="D12" s="9" t="s">
        <v>132</v>
      </c>
      <c r="E12" s="9" t="s">
        <v>30</v>
      </c>
      <c r="F12" s="18" t="s">
        <v>39</v>
      </c>
      <c r="G12" s="11" t="s">
        <v>32</v>
      </c>
      <c r="H12" s="25" t="s">
        <v>52</v>
      </c>
      <c r="I12" s="11" t="s">
        <v>133</v>
      </c>
      <c r="J12" s="23" t="s">
        <v>54</v>
      </c>
      <c r="K12" s="25" t="s">
        <v>55</v>
      </c>
      <c r="L12" s="23" t="s">
        <v>96</v>
      </c>
      <c r="M12" s="19" t="s">
        <v>45</v>
      </c>
      <c r="N12" s="21" t="s">
        <v>76</v>
      </c>
      <c r="O12" s="9" t="s">
        <v>129</v>
      </c>
      <c r="P12" s="9" t="s">
        <v>134</v>
      </c>
      <c r="Q12" s="16" t="str">
        <f t="shared" si="1"/>
        <v>https://voltaje.solecolombia.org/solv-community-meeting-space</v>
      </c>
      <c r="R12" s="9"/>
      <c r="S12" s="9"/>
      <c r="T12" s="9"/>
      <c r="U12" s="9"/>
      <c r="V12" s="9"/>
      <c r="W12" s="9"/>
      <c r="X12" s="9"/>
      <c r="Y12" s="9">
        <v>6.8620343E7</v>
      </c>
      <c r="Z12" s="22"/>
      <c r="AA12" s="9"/>
      <c r="AB12" s="22"/>
    </row>
    <row r="13" ht="20.25" customHeight="1">
      <c r="A13" s="6" t="s">
        <v>135</v>
      </c>
      <c r="B13" s="6" t="s">
        <v>136</v>
      </c>
      <c r="C13" s="6" t="s">
        <v>137</v>
      </c>
      <c r="E13" s="9" t="s">
        <v>30</v>
      </c>
      <c r="F13" s="10" t="s">
        <v>31</v>
      </c>
      <c r="G13" s="11" t="s">
        <v>32</v>
      </c>
      <c r="H13" s="12" t="s">
        <v>138</v>
      </c>
      <c r="I13" s="15"/>
      <c r="J13" s="14"/>
      <c r="K13" s="14"/>
      <c r="L13" s="14"/>
      <c r="M13" s="14"/>
      <c r="N13" s="15"/>
      <c r="Q13" s="16" t="str">
        <f t="shared" si="1"/>
        <v>https://voltaje.solecolombia.org/solv-create-mail-account</v>
      </c>
      <c r="Z13" s="17"/>
      <c r="AB13" s="17"/>
    </row>
    <row r="14" ht="20.25" customHeight="1">
      <c r="A14" s="9" t="s">
        <v>139</v>
      </c>
      <c r="B14" s="11" t="s">
        <v>140</v>
      </c>
      <c r="C14" s="11" t="s">
        <v>141</v>
      </c>
      <c r="D14" s="9" t="s">
        <v>142</v>
      </c>
      <c r="E14" s="9" t="s">
        <v>30</v>
      </c>
      <c r="F14" s="18" t="s">
        <v>39</v>
      </c>
      <c r="G14" s="11" t="s">
        <v>32</v>
      </c>
      <c r="H14" s="19" t="s">
        <v>52</v>
      </c>
      <c r="I14" s="20" t="s">
        <v>143</v>
      </c>
      <c r="J14" s="23" t="s">
        <v>88</v>
      </c>
      <c r="K14" s="19" t="s">
        <v>43</v>
      </c>
      <c r="L14" s="19" t="s">
        <v>96</v>
      </c>
      <c r="M14" s="19" t="s">
        <v>56</v>
      </c>
      <c r="N14" s="21" t="s">
        <v>57</v>
      </c>
      <c r="O14" s="11" t="s">
        <v>144</v>
      </c>
      <c r="P14" s="9"/>
      <c r="Q14" s="16" t="str">
        <f t="shared" si="1"/>
        <v>https://voltaje.solecolombia.org/solv-create-poweful-message</v>
      </c>
      <c r="R14" s="9"/>
      <c r="S14" s="9"/>
      <c r="T14" s="9"/>
      <c r="U14" s="9"/>
      <c r="V14" s="9"/>
      <c r="W14" s="9"/>
      <c r="X14" s="9"/>
      <c r="Y14" s="9"/>
      <c r="Z14" s="22"/>
      <c r="AA14" s="9"/>
      <c r="AB14" s="22"/>
    </row>
    <row r="15" ht="20.25" customHeight="1">
      <c r="A15" s="6" t="s">
        <v>145</v>
      </c>
      <c r="B15" s="6" t="s">
        <v>146</v>
      </c>
      <c r="E15" s="6" t="s">
        <v>30</v>
      </c>
      <c r="F15" s="10" t="s">
        <v>31</v>
      </c>
      <c r="G15" s="11" t="s">
        <v>32</v>
      </c>
      <c r="H15" s="12" t="s">
        <v>138</v>
      </c>
      <c r="I15" s="13" t="s">
        <v>147</v>
      </c>
      <c r="J15" s="14"/>
      <c r="K15" s="14"/>
      <c r="L15" s="14"/>
      <c r="M15" s="14"/>
      <c r="N15" s="15"/>
      <c r="Q15" s="16" t="str">
        <f t="shared" si="1"/>
        <v>https://voltaje.solecolombia.org/solv-disconnected</v>
      </c>
      <c r="Z15" s="17"/>
      <c r="AB15" s="17"/>
    </row>
    <row r="16" ht="20.25" customHeight="1">
      <c r="A16" s="9" t="s">
        <v>148</v>
      </c>
      <c r="B16" s="11" t="s">
        <v>149</v>
      </c>
      <c r="C16" s="11" t="s">
        <v>150</v>
      </c>
      <c r="D16" s="9" t="s">
        <v>151</v>
      </c>
      <c r="E16" s="9" t="s">
        <v>30</v>
      </c>
      <c r="F16" s="18" t="s">
        <v>39</v>
      </c>
      <c r="G16" s="11" t="s">
        <v>32</v>
      </c>
      <c r="H16" s="19" t="s">
        <v>52</v>
      </c>
      <c r="I16" s="20" t="s">
        <v>41</v>
      </c>
      <c r="J16" s="19" t="s">
        <v>42</v>
      </c>
      <c r="K16" s="19" t="s">
        <v>55</v>
      </c>
      <c r="L16" s="19" t="s">
        <v>44</v>
      </c>
      <c r="M16" s="19" t="s">
        <v>56</v>
      </c>
      <c r="N16" s="21" t="s">
        <v>57</v>
      </c>
      <c r="O16" s="9"/>
      <c r="P16" s="9"/>
      <c r="Q16" s="16" t="str">
        <f t="shared" si="1"/>
        <v>https://voltaje.solecolombia.org/solv-discover-audience</v>
      </c>
      <c r="R16" s="9" t="s">
        <v>59</v>
      </c>
      <c r="S16" s="9"/>
      <c r="T16" s="9"/>
      <c r="U16" s="9" t="s">
        <v>61</v>
      </c>
      <c r="V16" s="9"/>
      <c r="W16" s="9" t="s">
        <v>152</v>
      </c>
      <c r="X16" s="9" t="s">
        <v>153</v>
      </c>
      <c r="Y16" s="9"/>
      <c r="Z16" s="22" t="s">
        <v>65</v>
      </c>
      <c r="AA16" s="9" t="s">
        <v>66</v>
      </c>
      <c r="AB16" s="22" t="s">
        <v>67</v>
      </c>
    </row>
    <row r="17" ht="20.25" customHeight="1">
      <c r="A17" s="9" t="s">
        <v>154</v>
      </c>
      <c r="B17" s="9" t="s">
        <v>155</v>
      </c>
      <c r="C17" s="11" t="s">
        <v>156</v>
      </c>
      <c r="D17" s="9" t="s">
        <v>157</v>
      </c>
      <c r="E17" s="9" t="s">
        <v>30</v>
      </c>
      <c r="F17" s="18" t="s">
        <v>39</v>
      </c>
      <c r="G17" s="11" t="s">
        <v>32</v>
      </c>
      <c r="H17" s="19" t="s">
        <v>158</v>
      </c>
      <c r="I17" s="20" t="s">
        <v>159</v>
      </c>
      <c r="J17" s="19" t="s">
        <v>42</v>
      </c>
      <c r="K17" s="19" t="s">
        <v>55</v>
      </c>
      <c r="L17" s="19" t="s">
        <v>44</v>
      </c>
      <c r="M17" s="19" t="s">
        <v>56</v>
      </c>
      <c r="N17" s="21" t="s">
        <v>76</v>
      </c>
      <c r="O17" s="9"/>
      <c r="P17" s="9"/>
      <c r="Q17" s="16" t="str">
        <f t="shared" si="1"/>
        <v>https://voltaje.solecolombia.org/solv-donated-equipment</v>
      </c>
      <c r="R17" s="9"/>
      <c r="S17" s="9"/>
      <c r="T17" s="9"/>
      <c r="U17" s="9"/>
      <c r="V17" s="9"/>
      <c r="W17" s="9"/>
      <c r="X17" s="9"/>
      <c r="Y17" s="9"/>
      <c r="Z17" s="22"/>
      <c r="AA17" s="9"/>
      <c r="AB17" s="22"/>
    </row>
    <row r="18" ht="20.25" customHeight="1">
      <c r="A18" s="6" t="s">
        <v>160</v>
      </c>
      <c r="B18" s="6" t="s">
        <v>161</v>
      </c>
      <c r="C18" s="6" t="s">
        <v>162</v>
      </c>
      <c r="E18" s="6" t="s">
        <v>30</v>
      </c>
      <c r="F18" s="10" t="s">
        <v>163</v>
      </c>
      <c r="G18" s="6" t="s">
        <v>32</v>
      </c>
      <c r="H18" s="12" t="s">
        <v>164</v>
      </c>
      <c r="I18" s="13" t="s">
        <v>53</v>
      </c>
      <c r="J18" s="12" t="s">
        <v>42</v>
      </c>
      <c r="K18" s="12" t="s">
        <v>55</v>
      </c>
      <c r="L18" s="12" t="s">
        <v>75</v>
      </c>
      <c r="M18" s="12" t="s">
        <v>56</v>
      </c>
      <c r="N18" s="13" t="s">
        <v>165</v>
      </c>
      <c r="Q18" s="16" t="str">
        <f t="shared" si="1"/>
        <v>https://voltaje.solecolombia.org/solv-endless</v>
      </c>
      <c r="Z18" s="17"/>
      <c r="AB18" s="17"/>
    </row>
    <row r="19" ht="20.25" customHeight="1">
      <c r="A19" s="9" t="s">
        <v>166</v>
      </c>
      <c r="B19" s="11" t="s">
        <v>167</v>
      </c>
      <c r="C19" s="11" t="s">
        <v>168</v>
      </c>
      <c r="D19" s="9" t="s">
        <v>169</v>
      </c>
      <c r="E19" s="9" t="s">
        <v>30</v>
      </c>
      <c r="F19" s="18" t="s">
        <v>39</v>
      </c>
      <c r="G19" s="11" t="s">
        <v>32</v>
      </c>
      <c r="H19" s="19" t="s">
        <v>52</v>
      </c>
      <c r="I19" s="20" t="s">
        <v>41</v>
      </c>
      <c r="J19" s="23" t="s">
        <v>88</v>
      </c>
      <c r="K19" s="19" t="s">
        <v>55</v>
      </c>
      <c r="L19" s="19" t="s">
        <v>96</v>
      </c>
      <c r="M19" s="19" t="s">
        <v>56</v>
      </c>
      <c r="N19" s="21" t="s">
        <v>57</v>
      </c>
      <c r="O19" s="9" t="s">
        <v>170</v>
      </c>
      <c r="P19" s="9"/>
      <c r="Q19" s="16" t="str">
        <f t="shared" si="1"/>
        <v>https://voltaje.solecolombia.org/solv-express-invite</v>
      </c>
      <c r="R19" s="9"/>
      <c r="S19" s="9">
        <v>100.0</v>
      </c>
      <c r="T19" s="9"/>
      <c r="U19" s="9"/>
      <c r="V19" s="9"/>
      <c r="W19" s="9"/>
      <c r="X19" s="9"/>
      <c r="Y19" s="9"/>
      <c r="Z19" s="22"/>
      <c r="AA19" s="9"/>
      <c r="AB19" s="22"/>
    </row>
    <row r="20" ht="20.25" customHeight="1">
      <c r="A20" s="24" t="s">
        <v>171</v>
      </c>
      <c r="B20" s="9" t="s">
        <v>172</v>
      </c>
      <c r="C20" s="11" t="s">
        <v>173</v>
      </c>
      <c r="D20" s="9" t="s">
        <v>174</v>
      </c>
      <c r="E20" s="9" t="s">
        <v>30</v>
      </c>
      <c r="F20" s="18" t="s">
        <v>39</v>
      </c>
      <c r="G20" s="11" t="s">
        <v>32</v>
      </c>
      <c r="H20" s="19" t="s">
        <v>40</v>
      </c>
      <c r="I20" s="21" t="s">
        <v>113</v>
      </c>
      <c r="J20" s="23" t="s">
        <v>54</v>
      </c>
      <c r="K20" s="19" t="s">
        <v>175</v>
      </c>
      <c r="L20" s="19" t="s">
        <v>44</v>
      </c>
      <c r="M20" s="19" t="s">
        <v>45</v>
      </c>
      <c r="N20" s="21" t="s">
        <v>76</v>
      </c>
      <c r="O20" s="9"/>
      <c r="P20" s="9"/>
      <c r="Q20" s="16" t="str">
        <f t="shared" si="1"/>
        <v>https://voltaje.solecolombia.org/solv-financial-support-connect</v>
      </c>
      <c r="R20" s="9"/>
      <c r="S20" s="9"/>
      <c r="T20" s="9"/>
      <c r="U20" s="9"/>
      <c r="V20" s="9"/>
      <c r="W20" s="9"/>
      <c r="X20" s="9"/>
      <c r="Y20" s="9"/>
      <c r="Z20" s="22"/>
      <c r="AA20" s="9"/>
      <c r="AB20" s="22"/>
    </row>
    <row r="21" ht="20.25" customHeight="1">
      <c r="A21" s="24" t="s">
        <v>176</v>
      </c>
      <c r="B21" s="11" t="s">
        <v>177</v>
      </c>
      <c r="C21" s="11" t="s">
        <v>178</v>
      </c>
      <c r="D21" s="9" t="s">
        <v>179</v>
      </c>
      <c r="E21" s="9" t="s">
        <v>30</v>
      </c>
      <c r="F21" s="10" t="s">
        <v>163</v>
      </c>
      <c r="G21" s="11" t="s">
        <v>32</v>
      </c>
      <c r="H21" s="19" t="s">
        <v>33</v>
      </c>
      <c r="I21" s="20" t="s">
        <v>53</v>
      </c>
      <c r="J21" s="19" t="s">
        <v>42</v>
      </c>
      <c r="K21" s="19" t="s">
        <v>55</v>
      </c>
      <c r="L21" s="19" t="s">
        <v>44</v>
      </c>
      <c r="M21" s="19" t="s">
        <v>114</v>
      </c>
      <c r="N21" s="21" t="s">
        <v>180</v>
      </c>
      <c r="O21" s="9" t="s">
        <v>181</v>
      </c>
      <c r="P21" s="9"/>
      <c r="Q21" s="16" t="str">
        <f t="shared" si="1"/>
        <v>https://voltaje.solecolombia.org/solv-find-wifi-app</v>
      </c>
      <c r="R21" s="9" t="s">
        <v>59</v>
      </c>
      <c r="S21" s="9">
        <v>1.0</v>
      </c>
      <c r="T21" s="9"/>
      <c r="U21" s="9"/>
      <c r="V21" s="9"/>
      <c r="W21" s="9"/>
      <c r="X21" s="9"/>
      <c r="Y21" s="9"/>
      <c r="Z21" s="22"/>
      <c r="AA21" s="9"/>
      <c r="AB21" s="22"/>
    </row>
    <row r="22" ht="20.25" customHeight="1">
      <c r="A22" s="9" t="s">
        <v>182</v>
      </c>
      <c r="B22" s="9" t="s">
        <v>183</v>
      </c>
      <c r="C22" s="11" t="s">
        <v>184</v>
      </c>
      <c r="D22" s="9" t="s">
        <v>185</v>
      </c>
      <c r="E22" s="9" t="s">
        <v>30</v>
      </c>
      <c r="F22" s="18" t="s">
        <v>39</v>
      </c>
      <c r="G22" s="11" t="s">
        <v>32</v>
      </c>
      <c r="H22" s="19" t="s">
        <v>158</v>
      </c>
      <c r="I22" s="20" t="s">
        <v>159</v>
      </c>
      <c r="J22" s="23" t="s">
        <v>120</v>
      </c>
      <c r="K22" s="19" t="s">
        <v>55</v>
      </c>
      <c r="L22" s="19" t="s">
        <v>44</v>
      </c>
      <c r="M22" s="19" t="s">
        <v>56</v>
      </c>
      <c r="N22" s="21" t="s">
        <v>186</v>
      </c>
      <c r="O22" s="9"/>
      <c r="P22" s="9"/>
      <c r="Q22" s="16" t="str">
        <f t="shared" si="1"/>
        <v>https://voltaje.solecolombia.org/solv-fish-game</v>
      </c>
      <c r="R22" s="9"/>
      <c r="S22" s="9"/>
      <c r="T22" s="9"/>
      <c r="U22" s="9"/>
      <c r="V22" s="9"/>
      <c r="W22" s="9"/>
      <c r="X22" s="9"/>
      <c r="Y22" s="9"/>
      <c r="Z22" s="22"/>
      <c r="AA22" s="9"/>
      <c r="AB22" s="22"/>
    </row>
    <row r="23" ht="20.25" customHeight="1">
      <c r="A23" s="9" t="s">
        <v>187</v>
      </c>
      <c r="B23" s="11" t="s">
        <v>188</v>
      </c>
      <c r="C23" s="11" t="s">
        <v>189</v>
      </c>
      <c r="D23" s="9" t="s">
        <v>190</v>
      </c>
      <c r="E23" s="9" t="s">
        <v>30</v>
      </c>
      <c r="F23" s="18" t="s">
        <v>39</v>
      </c>
      <c r="G23" s="11" t="s">
        <v>32</v>
      </c>
      <c r="H23" s="19" t="s">
        <v>33</v>
      </c>
      <c r="I23" s="20" t="s">
        <v>34</v>
      </c>
      <c r="J23" s="23" t="s">
        <v>120</v>
      </c>
      <c r="K23" s="19" t="s">
        <v>191</v>
      </c>
      <c r="L23" s="19" t="s">
        <v>75</v>
      </c>
      <c r="M23" s="23" t="s">
        <v>56</v>
      </c>
      <c r="N23" s="21" t="s">
        <v>186</v>
      </c>
      <c r="O23" s="9"/>
      <c r="P23" s="9"/>
      <c r="Q23" s="16" t="str">
        <f t="shared" si="1"/>
        <v>https://voltaje.solecolombia.org/solv-funding-community-internet</v>
      </c>
      <c r="R23" s="9" t="s">
        <v>192</v>
      </c>
      <c r="S23" s="9">
        <v>1.0</v>
      </c>
      <c r="T23" s="9" t="s">
        <v>60</v>
      </c>
      <c r="U23" s="9" t="s">
        <v>61</v>
      </c>
      <c r="V23" s="9" t="s">
        <v>62</v>
      </c>
      <c r="W23" s="9" t="s">
        <v>63</v>
      </c>
      <c r="X23" s="9" t="s">
        <v>64</v>
      </c>
      <c r="Y23" s="9"/>
      <c r="Z23" s="22" t="s">
        <v>81</v>
      </c>
      <c r="AA23" s="9" t="s">
        <v>193</v>
      </c>
      <c r="AB23" s="22" t="s">
        <v>83</v>
      </c>
    </row>
    <row r="24" ht="20.25" customHeight="1">
      <c r="A24" s="9" t="s">
        <v>194</v>
      </c>
      <c r="B24" s="11" t="s">
        <v>195</v>
      </c>
      <c r="C24" s="11" t="s">
        <v>196</v>
      </c>
      <c r="D24" s="9" t="s">
        <v>197</v>
      </c>
      <c r="E24" s="9" t="s">
        <v>30</v>
      </c>
      <c r="F24" s="18" t="s">
        <v>39</v>
      </c>
      <c r="G24" s="11" t="s">
        <v>32</v>
      </c>
      <c r="H24" s="19" t="s">
        <v>158</v>
      </c>
      <c r="I24" s="20" t="s">
        <v>113</v>
      </c>
      <c r="J24" s="19" t="s">
        <v>42</v>
      </c>
      <c r="K24" s="19" t="s">
        <v>55</v>
      </c>
      <c r="L24" s="19" t="s">
        <v>44</v>
      </c>
      <c r="M24" s="19" t="s">
        <v>56</v>
      </c>
      <c r="N24" s="21" t="s">
        <v>57</v>
      </c>
      <c r="O24" s="9" t="s">
        <v>198</v>
      </c>
      <c r="P24" s="11" t="s">
        <v>199</v>
      </c>
      <c r="Q24" s="16" t="str">
        <f t="shared" si="1"/>
        <v>https://voltaje.solecolombia.org/solv-improve-signal-can</v>
      </c>
      <c r="R24" s="9"/>
      <c r="S24" s="9"/>
      <c r="T24" s="9"/>
      <c r="U24" s="9"/>
      <c r="V24" s="9"/>
      <c r="W24" s="9"/>
      <c r="X24" s="9"/>
      <c r="Y24" s="9"/>
      <c r="Z24" s="22"/>
      <c r="AA24" s="9"/>
      <c r="AB24" s="22"/>
    </row>
    <row r="25" ht="20.25" customHeight="1">
      <c r="A25" s="9" t="s">
        <v>200</v>
      </c>
      <c r="B25" s="11" t="s">
        <v>201</v>
      </c>
      <c r="C25" s="11" t="s">
        <v>202</v>
      </c>
      <c r="D25" s="9" t="s">
        <v>203</v>
      </c>
      <c r="E25" s="9" t="s">
        <v>30</v>
      </c>
      <c r="F25" s="18" t="s">
        <v>39</v>
      </c>
      <c r="G25" s="11" t="s">
        <v>32</v>
      </c>
      <c r="H25" s="19" t="s">
        <v>52</v>
      </c>
      <c r="I25" s="20" t="s">
        <v>53</v>
      </c>
      <c r="J25" s="23" t="s">
        <v>54</v>
      </c>
      <c r="K25" s="19" t="s">
        <v>55</v>
      </c>
      <c r="L25" s="19" t="s">
        <v>44</v>
      </c>
      <c r="M25" s="19" t="s">
        <v>56</v>
      </c>
      <c r="N25" s="21" t="s">
        <v>57</v>
      </c>
      <c r="O25" s="9" t="s">
        <v>204</v>
      </c>
      <c r="P25" s="9"/>
      <c r="Q25" s="16" t="str">
        <f t="shared" si="1"/>
        <v>https://voltaje.solecolombia.org/solv-improve-signal-router</v>
      </c>
      <c r="R25" s="9" t="s">
        <v>59</v>
      </c>
      <c r="S25" s="9">
        <v>30.0</v>
      </c>
      <c r="T25" s="9" t="s">
        <v>60</v>
      </c>
      <c r="U25" s="9" t="s">
        <v>61</v>
      </c>
      <c r="V25" s="9" t="s">
        <v>62</v>
      </c>
      <c r="W25" s="9" t="s">
        <v>63</v>
      </c>
      <c r="X25" s="9" t="s">
        <v>64</v>
      </c>
      <c r="Y25" s="9"/>
      <c r="Z25" s="22" t="s">
        <v>65</v>
      </c>
      <c r="AA25" s="9" t="s">
        <v>82</v>
      </c>
      <c r="AB25" s="22" t="s">
        <v>67</v>
      </c>
    </row>
    <row r="26" ht="20.25" customHeight="1">
      <c r="A26" s="9" t="s">
        <v>205</v>
      </c>
      <c r="B26" s="9" t="s">
        <v>206</v>
      </c>
      <c r="C26" s="11" t="s">
        <v>207</v>
      </c>
      <c r="D26" s="9" t="s">
        <v>208</v>
      </c>
      <c r="E26" s="9" t="s">
        <v>30</v>
      </c>
      <c r="F26" s="18" t="s">
        <v>39</v>
      </c>
      <c r="G26" s="11" t="s">
        <v>32</v>
      </c>
      <c r="H26" s="19" t="s">
        <v>33</v>
      </c>
      <c r="I26" s="20" t="s">
        <v>53</v>
      </c>
      <c r="J26" s="23" t="s">
        <v>54</v>
      </c>
      <c r="K26" s="19" t="s">
        <v>191</v>
      </c>
      <c r="L26" s="19" t="s">
        <v>44</v>
      </c>
      <c r="M26" s="19" t="s">
        <v>56</v>
      </c>
      <c r="N26" s="21" t="s">
        <v>180</v>
      </c>
      <c r="O26" s="9" t="s">
        <v>47</v>
      </c>
      <c r="P26" s="11" t="s">
        <v>199</v>
      </c>
      <c r="Q26" s="16" t="str">
        <f t="shared" si="1"/>
        <v>https://voltaje.solecolombia.org/solv-install-3G-antenna</v>
      </c>
      <c r="R26" s="9" t="s">
        <v>209</v>
      </c>
      <c r="S26" s="9">
        <v>20.0</v>
      </c>
      <c r="T26" s="9"/>
      <c r="U26" s="9"/>
      <c r="V26" s="9" t="s">
        <v>62</v>
      </c>
      <c r="W26" s="9"/>
      <c r="X26" s="9" t="s">
        <v>64</v>
      </c>
      <c r="Y26" s="9" t="s">
        <v>210</v>
      </c>
      <c r="Z26" s="22" t="s">
        <v>81</v>
      </c>
      <c r="AA26" s="9"/>
      <c r="AB26" s="22"/>
    </row>
    <row r="27" ht="20.25" customHeight="1">
      <c r="A27" s="9" t="s">
        <v>211</v>
      </c>
      <c r="B27" s="11" t="s">
        <v>212</v>
      </c>
      <c r="C27" s="11" t="s">
        <v>213</v>
      </c>
      <c r="D27" s="9" t="s">
        <v>214</v>
      </c>
      <c r="E27" s="9" t="s">
        <v>30</v>
      </c>
      <c r="F27" s="18" t="s">
        <v>39</v>
      </c>
      <c r="G27" s="11" t="s">
        <v>32</v>
      </c>
      <c r="H27" s="19" t="s">
        <v>52</v>
      </c>
      <c r="I27" s="20" t="s">
        <v>53</v>
      </c>
      <c r="J27" s="23" t="s">
        <v>88</v>
      </c>
      <c r="K27" s="19" t="s">
        <v>55</v>
      </c>
      <c r="L27" s="19" t="s">
        <v>96</v>
      </c>
      <c r="M27" s="19" t="s">
        <v>114</v>
      </c>
      <c r="N27" s="21" t="s">
        <v>215</v>
      </c>
      <c r="O27" s="9" t="s">
        <v>47</v>
      </c>
      <c r="P27" s="11" t="s">
        <v>216</v>
      </c>
      <c r="Q27" s="16" t="str">
        <f t="shared" si="1"/>
        <v>https://voltaje.solecolombia.org/solv-internet-quality-diagnosis</v>
      </c>
      <c r="R27" s="9" t="s">
        <v>98</v>
      </c>
      <c r="S27" s="9"/>
      <c r="T27" s="9"/>
      <c r="U27" s="9"/>
      <c r="V27" s="9"/>
      <c r="W27" s="9"/>
      <c r="X27" s="9"/>
      <c r="Y27" s="9"/>
      <c r="Z27" s="22"/>
      <c r="AA27" s="9"/>
      <c r="AB27" s="22"/>
    </row>
    <row r="28" ht="20.25" customHeight="1">
      <c r="A28" s="9" t="s">
        <v>217</v>
      </c>
      <c r="B28" s="11" t="s">
        <v>218</v>
      </c>
      <c r="C28" s="11" t="s">
        <v>219</v>
      </c>
      <c r="D28" s="9" t="s">
        <v>220</v>
      </c>
      <c r="E28" s="9" t="s">
        <v>30</v>
      </c>
      <c r="F28" s="18" t="s">
        <v>39</v>
      </c>
      <c r="G28" s="11" t="s">
        <v>32</v>
      </c>
      <c r="H28" s="19" t="s">
        <v>40</v>
      </c>
      <c r="I28" s="20" t="s">
        <v>53</v>
      </c>
      <c r="J28" s="19" t="s">
        <v>42</v>
      </c>
      <c r="K28" s="19" t="s">
        <v>55</v>
      </c>
      <c r="L28" s="19" t="s">
        <v>96</v>
      </c>
      <c r="M28" s="19" t="s">
        <v>114</v>
      </c>
      <c r="N28" s="21" t="s">
        <v>215</v>
      </c>
      <c r="O28" s="9" t="s">
        <v>221</v>
      </c>
      <c r="P28" s="11" t="s">
        <v>222</v>
      </c>
      <c r="Q28" s="16" t="str">
        <f t="shared" si="1"/>
        <v>https://voltaje.solecolombia.org/solv-internet-speedtest</v>
      </c>
      <c r="R28" s="9"/>
      <c r="S28" s="9"/>
      <c r="T28" s="9"/>
      <c r="U28" s="9"/>
      <c r="V28" s="9"/>
      <c r="W28" s="9"/>
      <c r="X28" s="9"/>
      <c r="Y28" s="9"/>
      <c r="Z28" s="22"/>
      <c r="AA28" s="9"/>
      <c r="AB28" s="22"/>
    </row>
    <row r="29" ht="20.25" customHeight="1">
      <c r="A29" s="6" t="s">
        <v>223</v>
      </c>
      <c r="B29" s="6" t="s">
        <v>224</v>
      </c>
      <c r="C29" s="6" t="s">
        <v>225</v>
      </c>
      <c r="E29" s="6" t="s">
        <v>30</v>
      </c>
      <c r="F29" s="10" t="s">
        <v>226</v>
      </c>
      <c r="G29" s="11" t="s">
        <v>32</v>
      </c>
      <c r="H29" s="12" t="s">
        <v>138</v>
      </c>
      <c r="I29" s="13" t="s">
        <v>53</v>
      </c>
      <c r="J29" s="12" t="s">
        <v>42</v>
      </c>
      <c r="K29" s="12" t="s">
        <v>55</v>
      </c>
      <c r="L29" s="12" t="s">
        <v>44</v>
      </c>
      <c r="M29" s="12" t="s">
        <v>114</v>
      </c>
      <c r="N29" s="13" t="s">
        <v>227</v>
      </c>
      <c r="Q29" s="16" t="str">
        <f t="shared" si="1"/>
        <v>https://voltaje.solecolombia.org/solv-jangala-install-box</v>
      </c>
      <c r="Z29" s="17"/>
      <c r="AB29" s="17"/>
    </row>
    <row r="30" ht="20.25" customHeight="1">
      <c r="A30" s="9" t="s">
        <v>228</v>
      </c>
      <c r="B30" s="11" t="s">
        <v>229</v>
      </c>
      <c r="C30" s="11" t="s">
        <v>230</v>
      </c>
      <c r="D30" s="9" t="s">
        <v>231</v>
      </c>
      <c r="E30" s="9" t="s">
        <v>30</v>
      </c>
      <c r="F30" s="18" t="s">
        <v>39</v>
      </c>
      <c r="G30" s="11" t="s">
        <v>32</v>
      </c>
      <c r="H30" s="19" t="s">
        <v>33</v>
      </c>
      <c r="I30" s="11" t="s">
        <v>113</v>
      </c>
      <c r="J30" s="23" t="s">
        <v>54</v>
      </c>
      <c r="K30" s="19" t="s">
        <v>55</v>
      </c>
      <c r="L30" s="19" t="s">
        <v>44</v>
      </c>
      <c r="M30" s="23" t="s">
        <v>45</v>
      </c>
      <c r="N30" s="21" t="s">
        <v>232</v>
      </c>
      <c r="O30" s="9"/>
      <c r="P30" s="11" t="s">
        <v>233</v>
      </c>
      <c r="Q30" s="16" t="str">
        <f t="shared" si="1"/>
        <v>https://voltaje.solecolombia.org/solv-jangala-internet-box</v>
      </c>
      <c r="R30" s="9" t="s">
        <v>209</v>
      </c>
      <c r="S30" s="9">
        <v>20.0</v>
      </c>
      <c r="T30" s="9" t="s">
        <v>60</v>
      </c>
      <c r="U30" s="9"/>
      <c r="V30" s="9" t="s">
        <v>62</v>
      </c>
      <c r="W30" s="9" t="s">
        <v>63</v>
      </c>
      <c r="X30" s="9" t="s">
        <v>64</v>
      </c>
      <c r="Y30" s="9" t="s">
        <v>210</v>
      </c>
      <c r="Z30" s="22" t="s">
        <v>65</v>
      </c>
      <c r="AA30" s="9" t="s">
        <v>193</v>
      </c>
      <c r="AB30" s="22"/>
    </row>
    <row r="31" ht="20.25" customHeight="1">
      <c r="A31" s="9" t="s">
        <v>234</v>
      </c>
      <c r="B31" s="9" t="s">
        <v>235</v>
      </c>
      <c r="C31" s="11" t="s">
        <v>236</v>
      </c>
      <c r="D31" s="9" t="s">
        <v>237</v>
      </c>
      <c r="E31" s="9" t="s">
        <v>30</v>
      </c>
      <c r="F31" s="18" t="s">
        <v>39</v>
      </c>
      <c r="G31" s="11" t="s">
        <v>32</v>
      </c>
      <c r="H31" s="19" t="s">
        <v>40</v>
      </c>
      <c r="I31" s="20" t="s">
        <v>53</v>
      </c>
      <c r="J31" s="19" t="s">
        <v>42</v>
      </c>
      <c r="K31" s="19" t="s">
        <v>55</v>
      </c>
      <c r="L31" s="19" t="s">
        <v>75</v>
      </c>
      <c r="M31" s="19" t="s">
        <v>114</v>
      </c>
      <c r="N31" s="21" t="s">
        <v>186</v>
      </c>
      <c r="O31" s="9" t="s">
        <v>47</v>
      </c>
      <c r="P31" s="9"/>
      <c r="Q31" s="16" t="str">
        <f t="shared" si="1"/>
        <v>https://voltaje.solecolombia.org/solv-know-wifi-passwords</v>
      </c>
      <c r="R31" s="9" t="s">
        <v>59</v>
      </c>
      <c r="S31" s="9">
        <v>10.0</v>
      </c>
      <c r="T31" s="9" t="s">
        <v>60</v>
      </c>
      <c r="U31" s="9" t="s">
        <v>61</v>
      </c>
      <c r="V31" s="9" t="s">
        <v>62</v>
      </c>
      <c r="W31" s="9" t="s">
        <v>63</v>
      </c>
      <c r="X31" s="9" t="s">
        <v>238</v>
      </c>
      <c r="Y31" s="9"/>
      <c r="Z31" s="22" t="s">
        <v>65</v>
      </c>
      <c r="AA31" s="9" t="s">
        <v>101</v>
      </c>
      <c r="AB31" s="22" t="s">
        <v>108</v>
      </c>
    </row>
    <row r="32" ht="20.25" customHeight="1">
      <c r="A32" s="9" t="s">
        <v>239</v>
      </c>
      <c r="B32" s="11" t="s">
        <v>240</v>
      </c>
      <c r="C32" s="11" t="s">
        <v>241</v>
      </c>
      <c r="D32" s="9" t="s">
        <v>242</v>
      </c>
      <c r="E32" s="9" t="s">
        <v>30</v>
      </c>
      <c r="F32" s="18" t="s">
        <v>39</v>
      </c>
      <c r="G32" s="11" t="s">
        <v>32</v>
      </c>
      <c r="H32" s="25" t="s">
        <v>33</v>
      </c>
      <c r="I32" s="11" t="s">
        <v>53</v>
      </c>
      <c r="J32" s="19" t="s">
        <v>42</v>
      </c>
      <c r="K32" s="19" t="s">
        <v>191</v>
      </c>
      <c r="L32" s="19" t="s">
        <v>44</v>
      </c>
      <c r="M32" s="19" t="s">
        <v>56</v>
      </c>
      <c r="N32" s="21" t="s">
        <v>180</v>
      </c>
      <c r="O32" s="9" t="s">
        <v>243</v>
      </c>
      <c r="P32" s="9"/>
      <c r="Q32" s="16" t="str">
        <f t="shared" si="1"/>
        <v>https://voltaje.solecolombia.org/solv-need-3Gantenna</v>
      </c>
      <c r="R32" s="9" t="s">
        <v>209</v>
      </c>
      <c r="S32" s="9"/>
      <c r="T32" s="9" t="s">
        <v>60</v>
      </c>
      <c r="U32" s="9" t="s">
        <v>61</v>
      </c>
      <c r="V32" s="9" t="s">
        <v>244</v>
      </c>
      <c r="W32" s="9" t="s">
        <v>152</v>
      </c>
      <c r="X32" s="9" t="s">
        <v>64</v>
      </c>
      <c r="Y32" s="9"/>
      <c r="Z32" s="22" t="s">
        <v>81</v>
      </c>
      <c r="AA32" s="9" t="s">
        <v>193</v>
      </c>
      <c r="AB32" s="22" t="s">
        <v>245</v>
      </c>
    </row>
    <row r="33" ht="20.25" customHeight="1">
      <c r="A33" s="6" t="s">
        <v>246</v>
      </c>
      <c r="B33" s="6" t="s">
        <v>247</v>
      </c>
      <c r="C33" s="6" t="s">
        <v>248</v>
      </c>
      <c r="E33" s="9" t="s">
        <v>30</v>
      </c>
      <c r="F33" s="10" t="s">
        <v>249</v>
      </c>
      <c r="G33" s="11" t="s">
        <v>32</v>
      </c>
      <c r="H33" s="12" t="s">
        <v>138</v>
      </c>
      <c r="I33" s="13" t="s">
        <v>133</v>
      </c>
      <c r="J33" s="14"/>
      <c r="K33" s="14"/>
      <c r="L33" s="14"/>
      <c r="M33" s="14"/>
      <c r="N33" s="15"/>
      <c r="P33" s="6" t="s">
        <v>250</v>
      </c>
      <c r="Q33" s="16" t="str">
        <f t="shared" si="1"/>
        <v>https://voltaje.solecolombia.org/solv-organize-space</v>
      </c>
      <c r="Z33" s="17"/>
      <c r="AB33" s="17"/>
    </row>
    <row r="34" ht="20.25" customHeight="1">
      <c r="A34" s="6" t="s">
        <v>251</v>
      </c>
      <c r="B34" s="6" t="s">
        <v>252</v>
      </c>
      <c r="C34" s="6" t="s">
        <v>253</v>
      </c>
      <c r="E34" s="6" t="s">
        <v>30</v>
      </c>
      <c r="F34" s="10" t="s">
        <v>31</v>
      </c>
      <c r="G34" s="11" t="s">
        <v>32</v>
      </c>
      <c r="H34" s="12" t="s">
        <v>138</v>
      </c>
      <c r="I34" s="13" t="s">
        <v>254</v>
      </c>
      <c r="J34" s="14"/>
      <c r="K34" s="14"/>
      <c r="L34" s="14"/>
      <c r="M34" s="14"/>
      <c r="N34" s="15"/>
      <c r="Q34" s="16" t="str">
        <f t="shared" si="1"/>
        <v>https://voltaje.solecolombia.org/solv-play-learn-internet</v>
      </c>
      <c r="Z34" s="17"/>
      <c r="AB34" s="17"/>
    </row>
    <row r="35" ht="20.25" customHeight="1">
      <c r="A35" s="9" t="s">
        <v>255</v>
      </c>
      <c r="B35" s="11" t="s">
        <v>256</v>
      </c>
      <c r="C35" s="11" t="s">
        <v>257</v>
      </c>
      <c r="D35" s="9" t="s">
        <v>258</v>
      </c>
      <c r="E35" s="9" t="s">
        <v>30</v>
      </c>
      <c r="F35" s="18" t="s">
        <v>39</v>
      </c>
      <c r="G35" s="11" t="s">
        <v>32</v>
      </c>
      <c r="H35" s="19" t="s">
        <v>72</v>
      </c>
      <c r="I35" s="20" t="s">
        <v>95</v>
      </c>
      <c r="J35" s="19" t="s">
        <v>42</v>
      </c>
      <c r="K35" s="19" t="s">
        <v>55</v>
      </c>
      <c r="L35" s="19" t="s">
        <v>96</v>
      </c>
      <c r="M35" s="19" t="s">
        <v>56</v>
      </c>
      <c r="N35" s="21" t="s">
        <v>76</v>
      </c>
      <c r="O35" s="9" t="s">
        <v>259</v>
      </c>
      <c r="P35" s="9"/>
      <c r="Q35" s="16" t="str">
        <f t="shared" si="1"/>
        <v>https://voltaje.solecolombia.org/solv-pocket-wikipedia</v>
      </c>
      <c r="R35" s="9" t="s">
        <v>192</v>
      </c>
      <c r="S35" s="9">
        <v>1.0</v>
      </c>
      <c r="T35" s="9"/>
      <c r="U35" s="9"/>
      <c r="V35" s="9"/>
      <c r="W35" s="9"/>
      <c r="X35" s="9"/>
      <c r="Y35" s="9"/>
      <c r="Z35" s="22"/>
      <c r="AA35" s="9"/>
      <c r="AB35" s="22"/>
    </row>
    <row r="36" ht="20.25" customHeight="1">
      <c r="A36" s="6" t="s">
        <v>260</v>
      </c>
      <c r="B36" s="6" t="s">
        <v>261</v>
      </c>
      <c r="E36" s="9" t="s">
        <v>30</v>
      </c>
      <c r="F36" s="10" t="s">
        <v>31</v>
      </c>
      <c r="G36" s="11" t="s">
        <v>32</v>
      </c>
      <c r="H36" s="12" t="s">
        <v>164</v>
      </c>
      <c r="I36" s="13" t="s">
        <v>73</v>
      </c>
      <c r="J36" s="14"/>
      <c r="K36" s="14"/>
      <c r="L36" s="14"/>
      <c r="M36" s="14"/>
      <c r="N36" s="15"/>
      <c r="Q36" s="16" t="str">
        <f t="shared" si="1"/>
        <v>https://voltaje.solecolombia.org/solv-powerbank</v>
      </c>
      <c r="Z36" s="17"/>
      <c r="AB36" s="17"/>
    </row>
    <row r="37" ht="20.25" customHeight="1">
      <c r="A37" s="9" t="s">
        <v>262</v>
      </c>
      <c r="B37" s="11" t="s">
        <v>263</v>
      </c>
      <c r="C37" s="11" t="s">
        <v>264</v>
      </c>
      <c r="D37" s="9" t="s">
        <v>265</v>
      </c>
      <c r="E37" s="9" t="s">
        <v>30</v>
      </c>
      <c r="F37" s="18" t="s">
        <v>39</v>
      </c>
      <c r="G37" s="11" t="s">
        <v>32</v>
      </c>
      <c r="H37" s="23" t="s">
        <v>40</v>
      </c>
      <c r="I37" s="20" t="s">
        <v>53</v>
      </c>
      <c r="J37" s="19" t="s">
        <v>42</v>
      </c>
      <c r="K37" s="19" t="s">
        <v>55</v>
      </c>
      <c r="L37" s="19" t="s">
        <v>96</v>
      </c>
      <c r="M37" s="19" t="s">
        <v>114</v>
      </c>
      <c r="N37" s="21" t="s">
        <v>76</v>
      </c>
      <c r="O37" s="9"/>
      <c r="P37" s="9"/>
      <c r="Q37" s="16" t="str">
        <f t="shared" si="1"/>
        <v>https://voltaje.solecolombia.org/solv-purchase-temp-satellite</v>
      </c>
      <c r="R37" s="9" t="s">
        <v>59</v>
      </c>
      <c r="S37" s="9">
        <v>1.0</v>
      </c>
      <c r="T37" s="9" t="s">
        <v>60</v>
      </c>
      <c r="U37" s="9" t="s">
        <v>61</v>
      </c>
      <c r="V37" s="9" t="s">
        <v>62</v>
      </c>
      <c r="W37" s="9" t="s">
        <v>63</v>
      </c>
      <c r="X37" s="9" t="s">
        <v>238</v>
      </c>
      <c r="Y37" s="9"/>
      <c r="Z37" s="22" t="s">
        <v>65</v>
      </c>
      <c r="AA37" s="9" t="s">
        <v>101</v>
      </c>
      <c r="AB37" s="22" t="s">
        <v>108</v>
      </c>
    </row>
    <row r="38" ht="22.5" customHeight="1">
      <c r="A38" s="6" t="s">
        <v>266</v>
      </c>
      <c r="B38" s="7"/>
      <c r="C38" s="7"/>
      <c r="D38" s="7"/>
      <c r="E38" s="9" t="s">
        <v>30</v>
      </c>
      <c r="F38" s="10" t="s">
        <v>31</v>
      </c>
      <c r="G38" s="11" t="s">
        <v>32</v>
      </c>
      <c r="H38" s="12" t="s">
        <v>164</v>
      </c>
      <c r="I38" s="13" t="s">
        <v>53</v>
      </c>
      <c r="J38" s="14"/>
      <c r="K38" s="14"/>
      <c r="L38" s="14"/>
      <c r="M38" s="14"/>
      <c r="N38" s="13" t="s">
        <v>76</v>
      </c>
      <c r="Q38" s="16" t="str">
        <f t="shared" si="1"/>
        <v>https://voltaje.solecolombia.org/solv-radio-link-antenna</v>
      </c>
      <c r="Z38" s="17"/>
      <c r="AB38" s="17"/>
    </row>
    <row r="39" ht="22.5" customHeight="1">
      <c r="A39" s="9" t="s">
        <v>267</v>
      </c>
      <c r="B39" s="26" t="s">
        <v>268</v>
      </c>
      <c r="C39" s="26" t="s">
        <v>269</v>
      </c>
      <c r="D39" s="9" t="s">
        <v>270</v>
      </c>
      <c r="E39" s="9" t="s">
        <v>30</v>
      </c>
      <c r="F39" s="10" t="s">
        <v>39</v>
      </c>
      <c r="G39" s="11" t="s">
        <v>32</v>
      </c>
      <c r="H39" s="19" t="s">
        <v>271</v>
      </c>
      <c r="I39" s="20" t="s">
        <v>95</v>
      </c>
      <c r="J39" s="23" t="s">
        <v>54</v>
      </c>
      <c r="K39" s="19" t="s">
        <v>74</v>
      </c>
      <c r="L39" s="19" t="s">
        <v>75</v>
      </c>
      <c r="M39" s="19" t="s">
        <v>56</v>
      </c>
      <c r="N39" s="21" t="s">
        <v>76</v>
      </c>
      <c r="O39" s="9" t="s">
        <v>47</v>
      </c>
      <c r="P39" s="9"/>
      <c r="Q39" s="16" t="str">
        <f t="shared" si="1"/>
        <v>https://voltaje.solecolombia.org/solv-raspberrypi-pocket-internet</v>
      </c>
      <c r="R39" s="9"/>
      <c r="S39" s="9"/>
      <c r="T39" s="9"/>
      <c r="U39" s="9"/>
      <c r="V39" s="9"/>
      <c r="W39" s="9"/>
      <c r="X39" s="9"/>
      <c r="Y39" s="9"/>
      <c r="Z39" s="22"/>
      <c r="AA39" s="9"/>
      <c r="AB39" s="22"/>
    </row>
    <row r="40" ht="22.5" customHeight="1">
      <c r="A40" s="9" t="s">
        <v>272</v>
      </c>
      <c r="B40" s="9" t="s">
        <v>273</v>
      </c>
      <c r="C40" s="11" t="s">
        <v>274</v>
      </c>
      <c r="D40" s="9" t="s">
        <v>275</v>
      </c>
      <c r="E40" s="9" t="s">
        <v>30</v>
      </c>
      <c r="F40" s="18" t="s">
        <v>39</v>
      </c>
      <c r="G40" s="11" t="s">
        <v>32</v>
      </c>
      <c r="H40" s="19" t="s">
        <v>33</v>
      </c>
      <c r="I40" s="20" t="s">
        <v>159</v>
      </c>
      <c r="J40" s="23" t="s">
        <v>54</v>
      </c>
      <c r="K40" s="19" t="s">
        <v>55</v>
      </c>
      <c r="L40" s="19" t="s">
        <v>96</v>
      </c>
      <c r="M40" s="19" t="s">
        <v>56</v>
      </c>
      <c r="N40" s="21" t="s">
        <v>186</v>
      </c>
      <c r="O40" s="9" t="s">
        <v>47</v>
      </c>
      <c r="P40" s="9"/>
      <c r="Q40" s="16" t="str">
        <f t="shared" si="1"/>
        <v>https://voltaje.solecolombia.org/solv-share-computers</v>
      </c>
      <c r="R40" s="9" t="s">
        <v>209</v>
      </c>
      <c r="S40" s="9">
        <v>10.0</v>
      </c>
      <c r="T40" s="9" t="s">
        <v>276</v>
      </c>
      <c r="U40" s="9" t="s">
        <v>61</v>
      </c>
      <c r="V40" s="9" t="s">
        <v>62</v>
      </c>
      <c r="W40" s="9" t="s">
        <v>63</v>
      </c>
      <c r="X40" s="9" t="s">
        <v>80</v>
      </c>
      <c r="Y40" s="9"/>
      <c r="Z40" s="22" t="s">
        <v>65</v>
      </c>
      <c r="AA40" s="9" t="s">
        <v>82</v>
      </c>
      <c r="AB40" s="22" t="s">
        <v>245</v>
      </c>
    </row>
    <row r="41" ht="22.5" customHeight="1">
      <c r="A41" s="24" t="s">
        <v>277</v>
      </c>
      <c r="B41" s="11" t="s">
        <v>278</v>
      </c>
      <c r="C41" s="11" t="s">
        <v>279</v>
      </c>
      <c r="D41" s="9" t="s">
        <v>280</v>
      </c>
      <c r="E41" s="9" t="s">
        <v>30</v>
      </c>
      <c r="F41" s="18" t="s">
        <v>39</v>
      </c>
      <c r="G41" s="11" t="s">
        <v>32</v>
      </c>
      <c r="H41" s="19" t="s">
        <v>72</v>
      </c>
      <c r="I41" s="21" t="s">
        <v>34</v>
      </c>
      <c r="J41" s="23" t="s">
        <v>42</v>
      </c>
      <c r="K41" s="23" t="s">
        <v>55</v>
      </c>
      <c r="L41" s="23" t="s">
        <v>281</v>
      </c>
      <c r="M41" s="23" t="s">
        <v>114</v>
      </c>
      <c r="N41" s="21" t="s">
        <v>186</v>
      </c>
      <c r="O41" s="9" t="s">
        <v>282</v>
      </c>
      <c r="P41" s="9"/>
      <c r="Q41" s="16" t="str">
        <f t="shared" si="1"/>
        <v>https://voltaje.solecolombia.org/solv-share-internet-cellphone</v>
      </c>
      <c r="R41" s="9"/>
      <c r="S41" s="9"/>
      <c r="T41" s="9"/>
      <c r="U41" s="9"/>
      <c r="V41" s="9"/>
      <c r="W41" s="9"/>
      <c r="X41" s="9"/>
      <c r="Y41" s="9"/>
      <c r="Z41" s="22"/>
      <c r="AA41" s="9"/>
      <c r="AB41" s="22"/>
    </row>
    <row r="42" ht="22.5" customHeight="1">
      <c r="A42" s="6" t="s">
        <v>283</v>
      </c>
      <c r="B42" s="6" t="s">
        <v>284</v>
      </c>
      <c r="C42" s="6" t="s">
        <v>285</v>
      </c>
      <c r="E42" s="9" t="s">
        <v>30</v>
      </c>
      <c r="F42" s="10" t="s">
        <v>249</v>
      </c>
      <c r="G42" s="11" t="s">
        <v>32</v>
      </c>
      <c r="H42" s="12" t="s">
        <v>138</v>
      </c>
      <c r="I42" s="13" t="s">
        <v>53</v>
      </c>
      <c r="J42" s="12" t="s">
        <v>42</v>
      </c>
      <c r="K42" s="12" t="s">
        <v>55</v>
      </c>
      <c r="L42" s="12" t="s">
        <v>96</v>
      </c>
      <c r="M42" s="12" t="s">
        <v>114</v>
      </c>
      <c r="N42" s="13" t="s">
        <v>186</v>
      </c>
      <c r="Q42" s="16" t="str">
        <f t="shared" si="1"/>
        <v>https://voltaje.solecolombia.org/solv-share-internet-computer</v>
      </c>
      <c r="Z42" s="17"/>
      <c r="AB42" s="17"/>
    </row>
    <row r="43" ht="22.5" customHeight="1">
      <c r="A43" s="9" t="s">
        <v>286</v>
      </c>
      <c r="B43" s="11" t="s">
        <v>287</v>
      </c>
      <c r="C43" s="11" t="s">
        <v>288</v>
      </c>
      <c r="D43" s="9" t="s">
        <v>289</v>
      </c>
      <c r="E43" s="9" t="s">
        <v>30</v>
      </c>
      <c r="F43" s="10" t="s">
        <v>31</v>
      </c>
      <c r="G43" s="11" t="s">
        <v>32</v>
      </c>
      <c r="H43" s="23" t="s">
        <v>164</v>
      </c>
      <c r="I43" s="20" t="s">
        <v>113</v>
      </c>
      <c r="J43" s="19" t="s">
        <v>42</v>
      </c>
      <c r="K43" s="19" t="s">
        <v>43</v>
      </c>
      <c r="L43" s="19" t="s">
        <v>44</v>
      </c>
      <c r="M43" s="19" t="s">
        <v>114</v>
      </c>
      <c r="N43" s="21" t="s">
        <v>186</v>
      </c>
      <c r="O43" s="9" t="s">
        <v>290</v>
      </c>
      <c r="P43" s="11" t="s">
        <v>291</v>
      </c>
      <c r="Q43" s="16" t="str">
        <f t="shared" si="1"/>
        <v>https://voltaje.solecolombia.org/solv-share-internet-wirelessly</v>
      </c>
      <c r="R43" s="9" t="s">
        <v>59</v>
      </c>
      <c r="S43" s="9">
        <v>1.0</v>
      </c>
      <c r="T43" s="9"/>
      <c r="U43" s="9" t="s">
        <v>61</v>
      </c>
      <c r="V43" s="9"/>
      <c r="W43" s="9"/>
      <c r="X43" s="9" t="s">
        <v>238</v>
      </c>
      <c r="Y43" s="9"/>
      <c r="Z43" s="22" t="s">
        <v>65</v>
      </c>
      <c r="AA43" s="9" t="s">
        <v>82</v>
      </c>
      <c r="AB43" s="22" t="s">
        <v>108</v>
      </c>
    </row>
    <row r="44" ht="22.5" customHeight="1">
      <c r="A44" s="9" t="s">
        <v>292</v>
      </c>
      <c r="B44" s="11" t="s">
        <v>293</v>
      </c>
      <c r="C44" s="11" t="s">
        <v>294</v>
      </c>
      <c r="D44" s="9" t="s">
        <v>295</v>
      </c>
      <c r="E44" s="9" t="s">
        <v>30</v>
      </c>
      <c r="F44" s="18" t="s">
        <v>39</v>
      </c>
      <c r="G44" s="11" t="s">
        <v>32</v>
      </c>
      <c r="H44" s="19" t="s">
        <v>52</v>
      </c>
      <c r="I44" s="20" t="s">
        <v>41</v>
      </c>
      <c r="J44" s="23" t="s">
        <v>54</v>
      </c>
      <c r="K44" s="19" t="s">
        <v>43</v>
      </c>
      <c r="L44" s="19" t="s">
        <v>44</v>
      </c>
      <c r="M44" s="19" t="s">
        <v>45</v>
      </c>
      <c r="N44" s="21" t="s">
        <v>186</v>
      </c>
      <c r="O44" s="9"/>
      <c r="P44" s="9"/>
      <c r="Q44" s="16" t="str">
        <f t="shared" si="1"/>
        <v>https://voltaje.solecolombia.org/solv-spread-message</v>
      </c>
      <c r="R44" s="9" t="s">
        <v>59</v>
      </c>
      <c r="S44" s="9"/>
      <c r="T44" s="9" t="s">
        <v>60</v>
      </c>
      <c r="U44" s="9" t="s">
        <v>61</v>
      </c>
      <c r="V44" s="9" t="s">
        <v>62</v>
      </c>
      <c r="W44" s="9" t="s">
        <v>152</v>
      </c>
      <c r="X44" s="9" t="s">
        <v>153</v>
      </c>
      <c r="Y44" s="9"/>
      <c r="Z44" s="22" t="s">
        <v>65</v>
      </c>
      <c r="AA44" s="9" t="s">
        <v>66</v>
      </c>
      <c r="AB44" s="22" t="s">
        <v>245</v>
      </c>
    </row>
    <row r="45" ht="22.5" customHeight="1">
      <c r="A45" s="11" t="s">
        <v>296</v>
      </c>
      <c r="B45" s="11" t="s">
        <v>297</v>
      </c>
      <c r="C45" s="11" t="s">
        <v>298</v>
      </c>
      <c r="D45" s="9" t="s">
        <v>299</v>
      </c>
      <c r="E45" s="9" t="s">
        <v>30</v>
      </c>
      <c r="F45" s="18" t="s">
        <v>39</v>
      </c>
      <c r="G45" s="11" t="s">
        <v>32</v>
      </c>
      <c r="H45" s="19" t="s">
        <v>33</v>
      </c>
      <c r="I45" s="20" t="s">
        <v>53</v>
      </c>
      <c r="J45" s="19" t="s">
        <v>42</v>
      </c>
      <c r="K45" s="19" t="s">
        <v>175</v>
      </c>
      <c r="L45" s="19" t="s">
        <v>96</v>
      </c>
      <c r="M45" s="19" t="s">
        <v>56</v>
      </c>
      <c r="N45" s="21" t="s">
        <v>57</v>
      </c>
      <c r="O45" s="9"/>
      <c r="P45" s="9"/>
      <c r="Q45" s="16" t="str">
        <f t="shared" si="1"/>
        <v>https://voltaje.solecolombia.org/solv-tricks-mobile-signal</v>
      </c>
      <c r="R45" s="9"/>
      <c r="S45" s="9">
        <v>3.0</v>
      </c>
      <c r="T45" s="9" t="s">
        <v>60</v>
      </c>
      <c r="U45" s="9"/>
      <c r="V45" s="9" t="s">
        <v>62</v>
      </c>
      <c r="W45" s="9" t="s">
        <v>63</v>
      </c>
      <c r="X45" s="9" t="s">
        <v>64</v>
      </c>
      <c r="Y45" s="9" t="s">
        <v>122</v>
      </c>
      <c r="Z45" s="22" t="s">
        <v>300</v>
      </c>
      <c r="AA45" s="9"/>
      <c r="AB45" s="22"/>
    </row>
    <row r="46" ht="22.5" customHeight="1">
      <c r="A46" s="9" t="s">
        <v>301</v>
      </c>
      <c r="B46" s="11" t="s">
        <v>302</v>
      </c>
      <c r="C46" s="11" t="s">
        <v>303</v>
      </c>
      <c r="D46" s="9" t="s">
        <v>304</v>
      </c>
      <c r="E46" s="9" t="s">
        <v>30</v>
      </c>
      <c r="F46" s="18" t="s">
        <v>39</v>
      </c>
      <c r="G46" s="11" t="s">
        <v>32</v>
      </c>
      <c r="H46" s="19" t="s">
        <v>40</v>
      </c>
      <c r="I46" s="20" t="s">
        <v>53</v>
      </c>
      <c r="J46" s="19" t="s">
        <v>42</v>
      </c>
      <c r="K46" s="19" t="s">
        <v>55</v>
      </c>
      <c r="L46" s="19" t="s">
        <v>44</v>
      </c>
      <c r="M46" s="19" t="s">
        <v>114</v>
      </c>
      <c r="N46" s="21" t="s">
        <v>215</v>
      </c>
      <c r="O46" s="9"/>
      <c r="P46" s="9"/>
      <c r="Q46" s="16" t="str">
        <f t="shared" si="1"/>
        <v>https://voltaje.solecolombia.org/solv-type-internet-signal</v>
      </c>
      <c r="R46" s="9" t="s">
        <v>59</v>
      </c>
      <c r="S46" s="9"/>
      <c r="T46" s="9" t="s">
        <v>276</v>
      </c>
      <c r="U46" s="9" t="s">
        <v>61</v>
      </c>
      <c r="V46" s="9" t="s">
        <v>62</v>
      </c>
      <c r="W46" s="9" t="s">
        <v>63</v>
      </c>
      <c r="X46" s="9" t="s">
        <v>64</v>
      </c>
      <c r="Y46" s="9"/>
      <c r="Z46" s="22" t="s">
        <v>65</v>
      </c>
      <c r="AA46" s="9" t="s">
        <v>66</v>
      </c>
      <c r="AB46" s="22" t="s">
        <v>108</v>
      </c>
    </row>
    <row r="47" ht="22.5" customHeight="1">
      <c r="A47" s="9" t="s">
        <v>305</v>
      </c>
      <c r="B47" s="11" t="s">
        <v>306</v>
      </c>
      <c r="C47" s="11" t="s">
        <v>307</v>
      </c>
      <c r="D47" s="9" t="s">
        <v>308</v>
      </c>
      <c r="E47" s="9" t="s">
        <v>30</v>
      </c>
      <c r="F47" s="10" t="s">
        <v>39</v>
      </c>
      <c r="G47" s="11" t="s">
        <v>32</v>
      </c>
      <c r="H47" s="19" t="s">
        <v>52</v>
      </c>
      <c r="I47" s="20" t="s">
        <v>41</v>
      </c>
      <c r="J47" s="23" t="s">
        <v>54</v>
      </c>
      <c r="K47" s="19" t="s">
        <v>43</v>
      </c>
      <c r="L47" s="19" t="s">
        <v>96</v>
      </c>
      <c r="M47" s="19" t="s">
        <v>56</v>
      </c>
      <c r="N47" s="21" t="s">
        <v>76</v>
      </c>
      <c r="O47" s="9"/>
      <c r="P47" s="9"/>
      <c r="Q47" s="16" t="str">
        <f t="shared" si="1"/>
        <v>https://voltaje.solecolombia.org/solv-write-invitation</v>
      </c>
      <c r="R47" s="9"/>
      <c r="S47" s="9"/>
      <c r="T47" s="9"/>
      <c r="U47" s="9"/>
      <c r="V47" s="9"/>
      <c r="W47" s="9"/>
      <c r="X47" s="9"/>
      <c r="Y47" s="9"/>
      <c r="Z47" s="22"/>
      <c r="AA47" s="9"/>
      <c r="AB47" s="22"/>
    </row>
    <row r="48" ht="22.5" customHeight="1">
      <c r="B48" s="6" t="s">
        <v>309</v>
      </c>
      <c r="E48" s="9" t="s">
        <v>30</v>
      </c>
      <c r="F48" s="10" t="s">
        <v>31</v>
      </c>
      <c r="G48" s="11" t="s">
        <v>32</v>
      </c>
      <c r="H48" s="14"/>
      <c r="I48" s="13" t="s">
        <v>133</v>
      </c>
      <c r="J48" s="14"/>
      <c r="K48" s="14"/>
      <c r="L48" s="14"/>
      <c r="M48" s="14"/>
      <c r="N48" s="15"/>
      <c r="O48" s="6" t="s">
        <v>310</v>
      </c>
      <c r="P48" s="6" t="s">
        <v>311</v>
      </c>
      <c r="Q48" s="16" t="str">
        <f t="shared" si="1"/>
        <v>https://voltaje.solecolombia.org/</v>
      </c>
      <c r="Z48" s="17"/>
      <c r="AB48" s="17"/>
    </row>
    <row r="49" ht="22.5" customHeight="1">
      <c r="B49" s="6" t="s">
        <v>312</v>
      </c>
      <c r="E49" s="9" t="s">
        <v>30</v>
      </c>
      <c r="F49" s="27" t="s">
        <v>31</v>
      </c>
      <c r="G49" s="11" t="s">
        <v>32</v>
      </c>
      <c r="H49" s="14"/>
      <c r="I49" s="13" t="s">
        <v>133</v>
      </c>
      <c r="J49" s="14"/>
      <c r="K49" s="14"/>
      <c r="L49" s="14"/>
      <c r="M49" s="14"/>
      <c r="N49" s="15"/>
      <c r="P49" s="6" t="s">
        <v>313</v>
      </c>
      <c r="Q49" s="16" t="str">
        <f t="shared" si="1"/>
        <v>https://voltaje.solecolombia.org/</v>
      </c>
      <c r="Z49" s="17"/>
      <c r="AB49" s="17"/>
    </row>
    <row r="50" ht="22.5" customHeight="1">
      <c r="B50" s="11" t="s">
        <v>306</v>
      </c>
      <c r="E50" s="9" t="s">
        <v>30</v>
      </c>
      <c r="F50" s="28"/>
      <c r="G50" s="11" t="s">
        <v>32</v>
      </c>
      <c r="H50" s="14"/>
      <c r="I50" s="15"/>
      <c r="J50" s="14"/>
      <c r="K50" s="14"/>
      <c r="L50" s="14"/>
      <c r="M50" s="14"/>
      <c r="N50" s="15"/>
      <c r="Q50" s="16" t="str">
        <f t="shared" si="1"/>
        <v>https://voltaje.solecolombia.org/</v>
      </c>
      <c r="Z50" s="17"/>
      <c r="AB50" s="17"/>
    </row>
    <row r="51" ht="22.5" customHeight="1">
      <c r="A51" s="6" t="s">
        <v>314</v>
      </c>
      <c r="B51" s="6" t="s">
        <v>315</v>
      </c>
      <c r="C51" s="6" t="s">
        <v>316</v>
      </c>
      <c r="E51" s="9" t="s">
        <v>30</v>
      </c>
      <c r="F51" s="27" t="s">
        <v>249</v>
      </c>
      <c r="G51" s="11" t="s">
        <v>32</v>
      </c>
      <c r="H51" s="12" t="s">
        <v>138</v>
      </c>
      <c r="I51" s="13" t="s">
        <v>317</v>
      </c>
      <c r="J51" s="12" t="s">
        <v>42</v>
      </c>
      <c r="K51" s="12" t="s">
        <v>175</v>
      </c>
      <c r="L51" s="12" t="s">
        <v>44</v>
      </c>
      <c r="M51" s="12" t="s">
        <v>45</v>
      </c>
      <c r="N51" s="13" t="s">
        <v>76</v>
      </c>
      <c r="P51" s="6" t="s">
        <v>318</v>
      </c>
      <c r="Q51" s="16" t="str">
        <f t="shared" si="1"/>
        <v>https://voltaje.solecolombia.org/solv-usb-internet-router</v>
      </c>
      <c r="Z51" s="17"/>
      <c r="AB51" s="17"/>
    </row>
    <row r="52" ht="22.5" customHeight="1">
      <c r="A52" s="6" t="s">
        <v>319</v>
      </c>
      <c r="B52" s="6" t="s">
        <v>320</v>
      </c>
      <c r="C52" s="6" t="s">
        <v>321</v>
      </c>
      <c r="E52" s="9" t="s">
        <v>30</v>
      </c>
      <c r="F52" s="27" t="s">
        <v>249</v>
      </c>
      <c r="G52" s="11" t="s">
        <v>32</v>
      </c>
      <c r="H52" s="12" t="s">
        <v>138</v>
      </c>
      <c r="I52" s="13" t="s">
        <v>133</v>
      </c>
      <c r="J52" s="12" t="s">
        <v>88</v>
      </c>
      <c r="K52" s="12" t="s">
        <v>55</v>
      </c>
      <c r="L52" s="12" t="s">
        <v>44</v>
      </c>
      <c r="M52" s="12" t="s">
        <v>322</v>
      </c>
      <c r="N52" s="13" t="s">
        <v>186</v>
      </c>
      <c r="P52" s="6" t="s">
        <v>323</v>
      </c>
      <c r="Q52" s="16" t="str">
        <f t="shared" si="1"/>
        <v>https://voltaje.solecolombia.org/solv-find-allied-spaces</v>
      </c>
      <c r="Z52" s="17"/>
      <c r="AB52" s="17"/>
    </row>
    <row r="53" ht="22.5" customHeight="1">
      <c r="A53" s="6" t="s">
        <v>324</v>
      </c>
      <c r="B53" s="6" t="s">
        <v>325</v>
      </c>
      <c r="C53" s="6" t="s">
        <v>326</v>
      </c>
      <c r="E53" s="9" t="s">
        <v>30</v>
      </c>
      <c r="F53" s="27" t="s">
        <v>249</v>
      </c>
      <c r="G53" s="11" t="s">
        <v>32</v>
      </c>
      <c r="H53" s="12" t="s">
        <v>138</v>
      </c>
      <c r="I53" s="13" t="s">
        <v>53</v>
      </c>
      <c r="J53" s="12" t="s">
        <v>42</v>
      </c>
      <c r="K53" s="12" t="s">
        <v>55</v>
      </c>
      <c r="L53" s="12" t="s">
        <v>96</v>
      </c>
      <c r="M53" s="12" t="s">
        <v>56</v>
      </c>
      <c r="N53" s="13" t="s">
        <v>46</v>
      </c>
      <c r="Q53" s="16" t="str">
        <f t="shared" si="1"/>
        <v>https://voltaje.solecolombia.org/solv-wiki-phone</v>
      </c>
      <c r="Z53" s="17"/>
      <c r="AB53" s="17"/>
    </row>
    <row r="54" ht="22.5" customHeight="1">
      <c r="A54" s="6" t="s">
        <v>327</v>
      </c>
      <c r="B54" s="6" t="s">
        <v>328</v>
      </c>
      <c r="C54" s="6" t="s">
        <v>329</v>
      </c>
      <c r="E54" s="6" t="s">
        <v>30</v>
      </c>
      <c r="F54" s="27" t="s">
        <v>249</v>
      </c>
      <c r="G54" s="11" t="s">
        <v>32</v>
      </c>
      <c r="H54" s="12" t="s">
        <v>138</v>
      </c>
      <c r="I54" s="13" t="s">
        <v>317</v>
      </c>
      <c r="J54" s="12" t="s">
        <v>42</v>
      </c>
      <c r="K54" s="12" t="s">
        <v>55</v>
      </c>
      <c r="L54" s="12" t="s">
        <v>96</v>
      </c>
      <c r="M54" s="12" t="s">
        <v>114</v>
      </c>
      <c r="N54" s="13" t="s">
        <v>330</v>
      </c>
      <c r="Q54" s="16" t="str">
        <f t="shared" si="1"/>
        <v>https://voltaje.solecolombia.org/solv-save-data-phone</v>
      </c>
      <c r="Z54" s="17"/>
      <c r="AB54" s="17"/>
    </row>
    <row r="55" ht="22.5" customHeight="1">
      <c r="A55" s="6" t="s">
        <v>331</v>
      </c>
      <c r="F55" s="27" t="s">
        <v>31</v>
      </c>
      <c r="G55" s="15"/>
      <c r="H55" s="12" t="s">
        <v>164</v>
      </c>
      <c r="I55" s="15"/>
      <c r="J55" s="14"/>
      <c r="K55" s="14"/>
      <c r="L55" s="14"/>
      <c r="M55" s="14"/>
      <c r="N55" s="15"/>
      <c r="Q55" s="16" t="str">
        <f t="shared" si="1"/>
        <v>https://voltaje.solecolombia.org/solv-microwave</v>
      </c>
      <c r="Z55" s="17"/>
      <c r="AB55" s="17"/>
    </row>
    <row r="56" ht="22.5" customHeight="1">
      <c r="F56" s="28"/>
      <c r="G56" s="15"/>
      <c r="H56" s="14"/>
      <c r="I56" s="15"/>
      <c r="J56" s="14"/>
      <c r="K56" s="14"/>
      <c r="L56" s="14"/>
      <c r="M56" s="14"/>
      <c r="N56" s="15"/>
      <c r="Q56" s="16" t="str">
        <f t="shared" si="1"/>
        <v>https://voltaje.solecolombia.org/</v>
      </c>
      <c r="Z56" s="17"/>
      <c r="AB56" s="17"/>
    </row>
    <row r="57" ht="22.5" customHeight="1">
      <c r="F57" s="28"/>
      <c r="G57" s="15"/>
      <c r="H57" s="14"/>
      <c r="I57" s="15"/>
      <c r="J57" s="14"/>
      <c r="K57" s="14"/>
      <c r="L57" s="14"/>
      <c r="M57" s="14"/>
      <c r="N57" s="15"/>
      <c r="Q57" s="16" t="str">
        <f t="shared" si="1"/>
        <v>https://voltaje.solecolombia.org/</v>
      </c>
      <c r="Z57" s="17"/>
      <c r="AB57" s="17"/>
    </row>
    <row r="58" ht="22.5" customHeight="1">
      <c r="F58" s="28"/>
      <c r="G58" s="15"/>
      <c r="H58" s="14"/>
      <c r="I58" s="15"/>
      <c r="J58" s="14"/>
      <c r="K58" s="14"/>
      <c r="L58" s="14"/>
      <c r="M58" s="14"/>
      <c r="N58" s="15"/>
      <c r="Q58" s="16" t="str">
        <f t="shared" si="1"/>
        <v>https://voltaje.solecolombia.org/</v>
      </c>
      <c r="Z58" s="17"/>
      <c r="AB58" s="17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dataValidations>
    <dataValidation type="list" allowBlank="1" showErrorMessage="1" sqref="Z2:Z58">
      <formula1>"4: Gasto mensual,0: Sin dinero,3: $ 200 COP &gt;,2: $ 100-200  COP,1: &gt; $ 100.COP"</formula1>
    </dataValidation>
    <dataValidation type="list" allowBlank="1" sqref="I2:I58">
      <formula1>"Personas,Señal,Electricidad,Dispositivos,Espacio"</formula1>
    </dataValidation>
    <dataValidation type="list" allowBlank="1" sqref="K2:K58">
      <formula1>"Gratis,&lt; USD 25,USD 25 - 50,&gt; USD 50,Gasto mensual"</formula1>
    </dataValidation>
    <dataValidation type="list" allowBlank="1" sqref="N2:N58">
      <formula1>"Conseguir,Compartir,Mejorar,Medir"</formula1>
    </dataValidation>
    <dataValidation type="list" allowBlank="1" sqref="H2:H58">
      <formula1>"Sanjay,Nicolás,Gabriel,Belén,Manuela,Mateo,Catalina,David"</formula1>
    </dataValidation>
    <dataValidation type="list" allowBlank="1" sqref="M2:M58">
      <formula1>"Minutos,Horas,Días,Semanas"</formula1>
    </dataValidation>
    <dataValidation type="list" allowBlank="1" sqref="F2:F58">
      <formula1>"Publicado,Prioritario,Modificar,Por revisar,Por hacer,Ampliar,Eliminar"</formula1>
    </dataValidation>
    <dataValidation type="list" allowBlank="1" sqref="J2:J58">
      <formula1>"Sin ayudantes,1 ayudante,2-3 ayudantes,Más de 3 ayudantes"</formula1>
    </dataValidation>
    <dataValidation type="list" allowBlank="1" sqref="L2:L58">
      <formula1>"Muy fácil,Fácil,Media,Complejo"</formula1>
    </dataValidation>
    <dataValidation type="list" allowBlank="1" showErrorMessage="1" sqref="AB2:AB58">
      <formula1>"2: Días,0: Minutos,3: Semanas,1: Horas"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88"/>
    <col customWidth="1" min="2" max="2" width="44.25"/>
    <col customWidth="1" min="3" max="3" width="30.88"/>
    <col customWidth="1" hidden="1" min="4" max="4" width="18.25"/>
    <col customWidth="1" min="6" max="6" width="18.38"/>
    <col customWidth="1" min="7" max="8" width="17.38"/>
    <col customWidth="1" min="9" max="9" width="38.38"/>
    <col customWidth="1" min="10" max="10" width="38.63"/>
    <col customWidth="1" min="11" max="11" width="31.75"/>
    <col customWidth="1" min="12" max="12" width="27.75"/>
    <col customWidth="1" min="13" max="13" width="20.25"/>
  </cols>
  <sheetData>
    <row r="1" ht="22.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14</v>
      </c>
      <c r="K1" s="29" t="s">
        <v>15</v>
      </c>
      <c r="L1" s="4" t="s">
        <v>332</v>
      </c>
      <c r="M1" s="4" t="s">
        <v>333</v>
      </c>
      <c r="N1" s="4" t="s">
        <v>334</v>
      </c>
      <c r="O1" s="4" t="s">
        <v>335</v>
      </c>
      <c r="P1" s="4" t="s">
        <v>336</v>
      </c>
    </row>
    <row r="2" ht="22.5" customHeight="1">
      <c r="A2" s="30" t="s">
        <v>337</v>
      </c>
      <c r="B2" s="31" t="s">
        <v>338</v>
      </c>
      <c r="C2" s="32"/>
      <c r="D2" s="32"/>
      <c r="E2" s="31" t="s">
        <v>339</v>
      </c>
      <c r="F2" s="33" t="s">
        <v>31</v>
      </c>
      <c r="G2" s="34" t="s">
        <v>32</v>
      </c>
      <c r="H2" s="35"/>
      <c r="I2" s="36" t="s">
        <v>340</v>
      </c>
      <c r="J2" s="32"/>
      <c r="K2" s="37"/>
      <c r="L2" s="38"/>
      <c r="M2" s="38"/>
      <c r="N2" s="38"/>
      <c r="O2" s="38"/>
      <c r="P2" s="38"/>
    </row>
    <row r="3" ht="22.5" customHeight="1">
      <c r="A3" s="39" t="s">
        <v>341</v>
      </c>
      <c r="B3" s="40" t="s">
        <v>342</v>
      </c>
      <c r="C3" s="40"/>
      <c r="D3" s="40" t="s">
        <v>343</v>
      </c>
      <c r="E3" s="40" t="s">
        <v>339</v>
      </c>
      <c r="F3" s="41" t="s">
        <v>163</v>
      </c>
      <c r="G3" s="34" t="s">
        <v>32</v>
      </c>
      <c r="H3" s="42"/>
      <c r="I3" s="43" t="s">
        <v>344</v>
      </c>
      <c r="J3" s="44"/>
      <c r="K3" s="45" t="s">
        <v>345</v>
      </c>
      <c r="L3" s="46" t="s">
        <v>346</v>
      </c>
      <c r="M3" s="38"/>
      <c r="N3" s="38"/>
      <c r="O3" s="38"/>
      <c r="P3" s="38"/>
    </row>
    <row r="4" ht="22.5" customHeight="1">
      <c r="A4" s="30" t="s">
        <v>347</v>
      </c>
      <c r="B4" s="31" t="s">
        <v>348</v>
      </c>
      <c r="C4" s="32"/>
      <c r="D4" s="32"/>
      <c r="E4" s="31" t="s">
        <v>339</v>
      </c>
      <c r="F4" s="47" t="s">
        <v>349</v>
      </c>
      <c r="G4" s="34" t="s">
        <v>32</v>
      </c>
      <c r="H4" s="35"/>
      <c r="I4" s="48"/>
      <c r="J4" s="32"/>
      <c r="K4" s="49" t="s">
        <v>350</v>
      </c>
      <c r="L4" s="38"/>
      <c r="M4" s="38"/>
      <c r="N4" s="38"/>
      <c r="O4" s="38"/>
      <c r="P4" s="38"/>
    </row>
    <row r="5" ht="22.5" customHeight="1">
      <c r="A5" s="39" t="s">
        <v>351</v>
      </c>
      <c r="B5" s="50" t="s">
        <v>352</v>
      </c>
      <c r="C5" s="44"/>
      <c r="D5" s="44"/>
      <c r="E5" s="40" t="s">
        <v>339</v>
      </c>
      <c r="F5" s="41" t="s">
        <v>163</v>
      </c>
      <c r="G5" s="34" t="s">
        <v>32</v>
      </c>
      <c r="H5" s="42"/>
      <c r="I5" s="43" t="s">
        <v>353</v>
      </c>
      <c r="J5" s="50"/>
      <c r="K5" s="45" t="s">
        <v>354</v>
      </c>
      <c r="L5" s="38"/>
      <c r="M5" s="38"/>
      <c r="N5" s="38"/>
      <c r="O5" s="38"/>
      <c r="P5" s="38"/>
    </row>
    <row r="6" ht="22.5" customHeight="1">
      <c r="A6" s="30" t="s">
        <v>355</v>
      </c>
      <c r="B6" s="31" t="s">
        <v>356</v>
      </c>
      <c r="C6" s="32"/>
      <c r="D6" s="32"/>
      <c r="E6" s="31" t="s">
        <v>339</v>
      </c>
      <c r="F6" s="33" t="s">
        <v>31</v>
      </c>
      <c r="G6" s="34" t="s">
        <v>32</v>
      </c>
      <c r="H6" s="35"/>
      <c r="I6" s="51" t="s">
        <v>357</v>
      </c>
      <c r="J6" s="32"/>
      <c r="K6" s="37"/>
      <c r="L6" s="38"/>
      <c r="M6" s="38"/>
      <c r="N6" s="38"/>
      <c r="O6" s="38"/>
      <c r="P6" s="38"/>
    </row>
    <row r="7" ht="22.5" customHeight="1">
      <c r="A7" s="52" t="s">
        <v>358</v>
      </c>
      <c r="B7" s="53" t="s">
        <v>359</v>
      </c>
      <c r="C7" s="54"/>
      <c r="D7" s="54"/>
      <c r="E7" s="53" t="s">
        <v>339</v>
      </c>
      <c r="F7" s="55" t="s">
        <v>31</v>
      </c>
      <c r="G7" s="34" t="s">
        <v>32</v>
      </c>
      <c r="H7" s="56"/>
      <c r="I7" s="57" t="s">
        <v>357</v>
      </c>
      <c r="J7" s="54"/>
      <c r="K7" s="58"/>
      <c r="L7" s="38"/>
      <c r="M7" s="38"/>
      <c r="N7" s="38"/>
      <c r="O7" s="38"/>
      <c r="P7" s="38"/>
    </row>
    <row r="8" ht="22.5" customHeight="1">
      <c r="A8" s="59" t="s">
        <v>360</v>
      </c>
      <c r="B8" s="60" t="s">
        <v>361</v>
      </c>
      <c r="C8" s="61"/>
      <c r="D8" s="61"/>
      <c r="E8" s="62" t="s">
        <v>339</v>
      </c>
      <c r="F8" s="63" t="s">
        <v>31</v>
      </c>
      <c r="G8" s="34" t="s">
        <v>32</v>
      </c>
      <c r="H8" s="64"/>
      <c r="I8" s="65" t="s">
        <v>357</v>
      </c>
      <c r="J8" s="61"/>
      <c r="K8" s="66"/>
      <c r="L8" s="38"/>
      <c r="M8" s="38"/>
      <c r="N8" s="38"/>
      <c r="O8" s="38"/>
      <c r="P8" s="38"/>
    </row>
    <row r="9" ht="22.5" customHeight="1">
      <c r="A9" s="39" t="s">
        <v>362</v>
      </c>
      <c r="B9" s="50" t="s">
        <v>363</v>
      </c>
      <c r="C9" s="40"/>
      <c r="D9" s="40" t="s">
        <v>364</v>
      </c>
      <c r="E9" s="40" t="s">
        <v>339</v>
      </c>
      <c r="F9" s="67" t="s">
        <v>39</v>
      </c>
      <c r="G9" s="34" t="s">
        <v>32</v>
      </c>
      <c r="H9" s="68" t="s">
        <v>52</v>
      </c>
      <c r="I9" s="50" t="s">
        <v>365</v>
      </c>
      <c r="J9" s="40"/>
      <c r="K9" s="69"/>
      <c r="L9" s="70" t="s">
        <v>366</v>
      </c>
      <c r="M9" s="38"/>
      <c r="N9" s="38"/>
      <c r="O9" s="38"/>
      <c r="P9" s="38"/>
    </row>
    <row r="10" ht="22.5" customHeight="1">
      <c r="A10" s="30" t="s">
        <v>367</v>
      </c>
      <c r="B10" s="31" t="s">
        <v>368</v>
      </c>
      <c r="C10" s="32"/>
      <c r="D10" s="32"/>
      <c r="E10" s="31" t="s">
        <v>339</v>
      </c>
      <c r="F10" s="33" t="s">
        <v>31</v>
      </c>
      <c r="G10" s="34" t="s">
        <v>32</v>
      </c>
      <c r="H10" s="35"/>
      <c r="I10" s="51" t="s">
        <v>357</v>
      </c>
      <c r="J10" s="32"/>
      <c r="K10" s="37"/>
      <c r="L10" s="38"/>
      <c r="M10" s="38"/>
      <c r="N10" s="38"/>
      <c r="O10" s="38"/>
      <c r="P10" s="38"/>
    </row>
    <row r="11" ht="22.5" customHeight="1">
      <c r="A11" s="52" t="s">
        <v>369</v>
      </c>
      <c r="B11" s="53" t="s">
        <v>370</v>
      </c>
      <c r="C11" s="54"/>
      <c r="D11" s="54"/>
      <c r="E11" s="53" t="s">
        <v>339</v>
      </c>
      <c r="F11" s="55" t="s">
        <v>31</v>
      </c>
      <c r="G11" s="34" t="s">
        <v>32</v>
      </c>
      <c r="H11" s="56"/>
      <c r="I11" s="71" t="s">
        <v>371</v>
      </c>
      <c r="J11" s="54"/>
      <c r="K11" s="58"/>
      <c r="L11" s="38"/>
      <c r="M11" s="38"/>
      <c r="N11" s="38"/>
      <c r="O11" s="38"/>
      <c r="P11" s="38"/>
    </row>
    <row r="12" ht="22.5" customHeight="1">
      <c r="A12" s="59" t="s">
        <v>372</v>
      </c>
      <c r="B12" s="60" t="s">
        <v>373</v>
      </c>
      <c r="C12" s="62"/>
      <c r="D12" s="62" t="s">
        <v>374</v>
      </c>
      <c r="E12" s="62" t="s">
        <v>339</v>
      </c>
      <c r="F12" s="72" t="s">
        <v>226</v>
      </c>
      <c r="G12" s="34" t="s">
        <v>32</v>
      </c>
      <c r="H12" s="73" t="s">
        <v>40</v>
      </c>
      <c r="I12" s="43" t="s">
        <v>344</v>
      </c>
      <c r="J12" s="62"/>
      <c r="K12" s="74" t="s">
        <v>375</v>
      </c>
      <c r="L12" s="38"/>
      <c r="M12" s="38"/>
      <c r="N12" s="38"/>
      <c r="O12" s="38"/>
      <c r="P12" s="38"/>
    </row>
    <row r="13" ht="22.5" customHeight="1">
      <c r="A13" s="52" t="s">
        <v>376</v>
      </c>
      <c r="B13" s="53" t="s">
        <v>377</v>
      </c>
      <c r="C13" s="53"/>
      <c r="D13" s="53" t="s">
        <v>378</v>
      </c>
      <c r="E13" s="53" t="s">
        <v>339</v>
      </c>
      <c r="F13" s="75" t="s">
        <v>39</v>
      </c>
      <c r="G13" s="34" t="s">
        <v>32</v>
      </c>
      <c r="H13" s="76" t="s">
        <v>40</v>
      </c>
      <c r="I13" s="57" t="s">
        <v>344</v>
      </c>
      <c r="J13" s="54"/>
      <c r="K13" s="58"/>
      <c r="L13" s="38"/>
      <c r="M13" s="38"/>
      <c r="N13" s="38"/>
      <c r="O13" s="38"/>
      <c r="P13" s="38"/>
    </row>
    <row r="14" ht="22.5" customHeight="1">
      <c r="A14" s="59" t="s">
        <v>379</v>
      </c>
      <c r="B14" s="62" t="s">
        <v>380</v>
      </c>
      <c r="C14" s="62"/>
      <c r="D14" s="62" t="s">
        <v>381</v>
      </c>
      <c r="E14" s="62" t="s">
        <v>339</v>
      </c>
      <c r="F14" s="77" t="s">
        <v>39</v>
      </c>
      <c r="G14" s="34" t="s">
        <v>32</v>
      </c>
      <c r="H14" s="64"/>
      <c r="I14" s="65" t="s">
        <v>344</v>
      </c>
      <c r="J14" s="61"/>
      <c r="K14" s="74" t="s">
        <v>382</v>
      </c>
      <c r="L14" s="38"/>
      <c r="M14" s="38"/>
      <c r="N14" s="38"/>
      <c r="O14" s="38"/>
      <c r="P14" s="38"/>
    </row>
    <row r="15" ht="22.5" customHeight="1">
      <c r="A15" s="52" t="s">
        <v>383</v>
      </c>
      <c r="B15" s="53" t="s">
        <v>384</v>
      </c>
      <c r="C15" s="54"/>
      <c r="D15" s="54"/>
      <c r="E15" s="53" t="s">
        <v>339</v>
      </c>
      <c r="F15" s="78" t="s">
        <v>163</v>
      </c>
      <c r="G15" s="34" t="s">
        <v>32</v>
      </c>
      <c r="H15" s="56"/>
      <c r="I15" s="51" t="s">
        <v>385</v>
      </c>
      <c r="J15" s="54"/>
      <c r="K15" s="79" t="s">
        <v>386</v>
      </c>
      <c r="L15" s="46" t="s">
        <v>387</v>
      </c>
      <c r="M15" s="38"/>
      <c r="N15" s="38"/>
      <c r="O15" s="38"/>
      <c r="P15" s="38"/>
    </row>
    <row r="16" ht="22.5" customHeight="1">
      <c r="A16" s="59" t="s">
        <v>388</v>
      </c>
      <c r="B16" s="62" t="s">
        <v>389</v>
      </c>
      <c r="C16" s="61"/>
      <c r="D16" s="61"/>
      <c r="E16" s="62" t="s">
        <v>339</v>
      </c>
      <c r="F16" s="77" t="s">
        <v>39</v>
      </c>
      <c r="G16" s="34" t="s">
        <v>32</v>
      </c>
      <c r="H16" s="64"/>
      <c r="I16" s="60" t="s">
        <v>390</v>
      </c>
      <c r="J16" s="61"/>
      <c r="K16" s="74" t="s">
        <v>391</v>
      </c>
      <c r="L16" s="38"/>
      <c r="M16" s="38"/>
      <c r="N16" s="38"/>
      <c r="O16" s="38"/>
      <c r="P16" s="38"/>
    </row>
    <row r="17" ht="22.5" customHeight="1">
      <c r="A17" s="39" t="s">
        <v>392</v>
      </c>
      <c r="B17" s="40" t="s">
        <v>393</v>
      </c>
      <c r="C17" s="40"/>
      <c r="D17" s="40" t="s">
        <v>394</v>
      </c>
      <c r="E17" s="40" t="s">
        <v>339</v>
      </c>
      <c r="F17" s="67" t="s">
        <v>39</v>
      </c>
      <c r="G17" s="34" t="s">
        <v>32</v>
      </c>
      <c r="H17" s="68" t="s">
        <v>33</v>
      </c>
      <c r="I17" s="80" t="s">
        <v>395</v>
      </c>
      <c r="J17" s="40" t="s">
        <v>396</v>
      </c>
      <c r="K17" s="69"/>
      <c r="L17" s="38"/>
      <c r="M17" s="38"/>
      <c r="N17" s="38"/>
      <c r="O17" s="38"/>
      <c r="P17" s="38"/>
    </row>
    <row r="18" ht="22.5" customHeight="1">
      <c r="A18" s="30" t="s">
        <v>397</v>
      </c>
      <c r="B18" s="36" t="s">
        <v>398</v>
      </c>
      <c r="C18" s="32"/>
      <c r="D18" s="32"/>
      <c r="E18" s="31" t="s">
        <v>339</v>
      </c>
      <c r="F18" s="81" t="s">
        <v>163</v>
      </c>
      <c r="G18" s="34" t="s">
        <v>32</v>
      </c>
      <c r="H18" s="35"/>
      <c r="I18" s="51" t="s">
        <v>353</v>
      </c>
      <c r="J18" s="31"/>
      <c r="K18" s="49" t="s">
        <v>399</v>
      </c>
      <c r="L18" s="38"/>
      <c r="M18" s="38"/>
      <c r="N18" s="38"/>
      <c r="O18" s="38"/>
      <c r="P18" s="38"/>
    </row>
    <row r="19" ht="22.5" customHeight="1">
      <c r="A19" s="52" t="s">
        <v>400</v>
      </c>
      <c r="B19" s="53" t="s">
        <v>401</v>
      </c>
      <c r="C19" s="54"/>
      <c r="D19" s="54"/>
      <c r="E19" s="53" t="s">
        <v>339</v>
      </c>
      <c r="F19" s="55" t="s">
        <v>31</v>
      </c>
      <c r="G19" s="34" t="s">
        <v>32</v>
      </c>
      <c r="H19" s="56"/>
      <c r="I19" s="57" t="s">
        <v>357</v>
      </c>
      <c r="J19" s="54"/>
      <c r="K19" s="79" t="s">
        <v>402</v>
      </c>
      <c r="L19" s="38"/>
      <c r="M19" s="38"/>
      <c r="N19" s="38"/>
      <c r="O19" s="38"/>
      <c r="P19" s="38"/>
    </row>
    <row r="20" ht="22.5" customHeight="1">
      <c r="A20" s="59" t="s">
        <v>403</v>
      </c>
      <c r="B20" s="60" t="s">
        <v>404</v>
      </c>
      <c r="C20" s="62"/>
      <c r="D20" s="62" t="s">
        <v>405</v>
      </c>
      <c r="E20" s="62" t="s">
        <v>339</v>
      </c>
      <c r="F20" s="77" t="s">
        <v>39</v>
      </c>
      <c r="G20" s="34" t="s">
        <v>32</v>
      </c>
      <c r="H20" s="73" t="s">
        <v>52</v>
      </c>
      <c r="I20" s="60" t="s">
        <v>406</v>
      </c>
      <c r="J20" s="62"/>
      <c r="K20" s="66"/>
      <c r="L20" s="70" t="s">
        <v>407</v>
      </c>
      <c r="M20" s="38"/>
      <c r="N20" s="38"/>
      <c r="O20" s="38"/>
      <c r="P20" s="38"/>
    </row>
    <row r="21" ht="22.5" customHeight="1">
      <c r="A21" s="39" t="s">
        <v>408</v>
      </c>
      <c r="B21" s="40" t="s">
        <v>409</v>
      </c>
      <c r="C21" s="40"/>
      <c r="D21" s="40" t="s">
        <v>410</v>
      </c>
      <c r="E21" s="40" t="s">
        <v>339</v>
      </c>
      <c r="F21" s="67" t="s">
        <v>39</v>
      </c>
      <c r="G21" s="34" t="s">
        <v>32</v>
      </c>
      <c r="H21" s="68" t="s">
        <v>33</v>
      </c>
      <c r="I21" s="43" t="s">
        <v>357</v>
      </c>
      <c r="J21" s="44"/>
      <c r="K21" s="69"/>
      <c r="L21" s="38"/>
      <c r="M21" s="38"/>
      <c r="N21" s="38"/>
      <c r="O21" s="38"/>
      <c r="P21" s="38"/>
    </row>
    <row r="22" ht="22.5" customHeight="1">
      <c r="A22" s="59" t="s">
        <v>411</v>
      </c>
      <c r="B22" s="60" t="s">
        <v>412</v>
      </c>
      <c r="C22" s="62"/>
      <c r="D22" s="62" t="s">
        <v>413</v>
      </c>
      <c r="E22" s="62" t="s">
        <v>339</v>
      </c>
      <c r="F22" s="72" t="s">
        <v>226</v>
      </c>
      <c r="G22" s="34" t="s">
        <v>32</v>
      </c>
      <c r="H22" s="73" t="s">
        <v>40</v>
      </c>
      <c r="I22" s="82" t="s">
        <v>395</v>
      </c>
      <c r="J22" s="62"/>
      <c r="K22" s="74" t="s">
        <v>414</v>
      </c>
      <c r="L22" s="38"/>
      <c r="M22" s="38"/>
      <c r="N22" s="38"/>
      <c r="O22" s="38"/>
      <c r="P22" s="38"/>
    </row>
    <row r="23" ht="22.5" customHeight="1">
      <c r="A23" s="52" t="s">
        <v>415</v>
      </c>
      <c r="B23" s="71" t="s">
        <v>416</v>
      </c>
      <c r="C23" s="53"/>
      <c r="D23" s="53" t="s">
        <v>417</v>
      </c>
      <c r="E23" s="53" t="s">
        <v>339</v>
      </c>
      <c r="F23" s="75" t="s">
        <v>39</v>
      </c>
      <c r="G23" s="34" t="s">
        <v>32</v>
      </c>
      <c r="H23" s="76" t="s">
        <v>52</v>
      </c>
      <c r="I23" s="83" t="s">
        <v>395</v>
      </c>
      <c r="J23" s="53"/>
      <c r="K23" s="58"/>
      <c r="L23" s="38"/>
      <c r="M23" s="38"/>
      <c r="N23" s="38"/>
      <c r="O23" s="38"/>
      <c r="P23" s="38"/>
    </row>
    <row r="24" ht="22.5" customHeight="1">
      <c r="A24" s="30" t="s">
        <v>418</v>
      </c>
      <c r="B24" s="31" t="s">
        <v>419</v>
      </c>
      <c r="C24" s="31"/>
      <c r="D24" s="31" t="s">
        <v>420</v>
      </c>
      <c r="E24" s="31" t="s">
        <v>339</v>
      </c>
      <c r="F24" s="18" t="s">
        <v>39</v>
      </c>
      <c r="G24" s="34" t="s">
        <v>32</v>
      </c>
      <c r="H24" s="35"/>
      <c r="I24" s="51" t="s">
        <v>385</v>
      </c>
      <c r="J24" s="32"/>
      <c r="K24" s="37"/>
      <c r="L24" s="70" t="s">
        <v>421</v>
      </c>
      <c r="M24" s="70" t="s">
        <v>422</v>
      </c>
      <c r="N24" s="84" t="s">
        <v>423</v>
      </c>
      <c r="O24" s="84" t="s">
        <v>424</v>
      </c>
      <c r="P24" s="84" t="s">
        <v>425</v>
      </c>
    </row>
    <row r="25" ht="22.5" customHeight="1">
      <c r="A25" s="85" t="s">
        <v>426</v>
      </c>
      <c r="B25" s="40" t="s">
        <v>427</v>
      </c>
      <c r="C25" s="40"/>
      <c r="D25" s="40" t="s">
        <v>428</v>
      </c>
      <c r="E25" s="40" t="s">
        <v>339</v>
      </c>
      <c r="F25" s="67" t="s">
        <v>39</v>
      </c>
      <c r="G25" s="34" t="s">
        <v>32</v>
      </c>
      <c r="H25" s="42"/>
      <c r="I25" s="43" t="s">
        <v>385</v>
      </c>
      <c r="J25" s="44"/>
      <c r="K25" s="86" t="s">
        <v>429</v>
      </c>
      <c r="L25" s="70" t="s">
        <v>430</v>
      </c>
      <c r="M25" s="46" t="s">
        <v>431</v>
      </c>
      <c r="N25" s="38"/>
      <c r="O25" s="38"/>
      <c r="P25" s="38"/>
    </row>
    <row r="26" ht="22.5" customHeight="1">
      <c r="A26" s="30" t="s">
        <v>432</v>
      </c>
      <c r="B26" s="31" t="s">
        <v>433</v>
      </c>
      <c r="C26" s="31"/>
      <c r="D26" s="31" t="s">
        <v>434</v>
      </c>
      <c r="E26" s="31" t="s">
        <v>339</v>
      </c>
      <c r="F26" s="18" t="s">
        <v>39</v>
      </c>
      <c r="G26" s="34" t="s">
        <v>32</v>
      </c>
      <c r="H26" s="35"/>
      <c r="I26" s="51" t="s">
        <v>385</v>
      </c>
      <c r="J26" s="32"/>
      <c r="K26" s="87" t="s">
        <v>435</v>
      </c>
      <c r="L26" s="46" t="s">
        <v>436</v>
      </c>
      <c r="M26" s="70" t="s">
        <v>437</v>
      </c>
      <c r="N26" s="38"/>
      <c r="O26" s="38"/>
      <c r="P26" s="38"/>
    </row>
    <row r="27" ht="22.5" customHeight="1">
      <c r="A27" s="39" t="s">
        <v>438</v>
      </c>
      <c r="B27" s="40" t="s">
        <v>439</v>
      </c>
      <c r="C27" s="40"/>
      <c r="D27" s="40" t="s">
        <v>440</v>
      </c>
      <c r="E27" s="40" t="s">
        <v>339</v>
      </c>
      <c r="F27" s="67" t="s">
        <v>39</v>
      </c>
      <c r="G27" s="34" t="s">
        <v>32</v>
      </c>
      <c r="H27" s="42"/>
      <c r="I27" s="43" t="s">
        <v>385</v>
      </c>
      <c r="J27" s="44"/>
      <c r="K27" s="69"/>
      <c r="L27" s="70" t="s">
        <v>441</v>
      </c>
      <c r="M27" s="70" t="s">
        <v>442</v>
      </c>
      <c r="N27" s="70" t="s">
        <v>443</v>
      </c>
      <c r="O27" s="38"/>
      <c r="P27" s="38"/>
    </row>
    <row r="28" ht="22.5" customHeight="1">
      <c r="A28" s="59" t="s">
        <v>444</v>
      </c>
      <c r="B28" s="62" t="s">
        <v>445</v>
      </c>
      <c r="C28" s="62"/>
      <c r="D28" s="62" t="s">
        <v>446</v>
      </c>
      <c r="E28" s="62" t="s">
        <v>339</v>
      </c>
      <c r="F28" s="77" t="s">
        <v>39</v>
      </c>
      <c r="G28" s="34" t="s">
        <v>32</v>
      </c>
      <c r="H28" s="64"/>
      <c r="I28" s="65" t="s">
        <v>385</v>
      </c>
      <c r="J28" s="61"/>
      <c r="K28" s="88" t="s">
        <v>447</v>
      </c>
      <c r="L28" s="46" t="s">
        <v>448</v>
      </c>
      <c r="M28" s="70" t="s">
        <v>449</v>
      </c>
      <c r="N28" s="38"/>
      <c r="O28" s="38"/>
      <c r="P28" s="38"/>
    </row>
    <row r="29" ht="22.5" customHeight="1">
      <c r="A29" s="39" t="s">
        <v>450</v>
      </c>
      <c r="B29" s="40" t="s">
        <v>451</v>
      </c>
      <c r="C29" s="40"/>
      <c r="D29" s="40" t="s">
        <v>452</v>
      </c>
      <c r="E29" s="40" t="s">
        <v>339</v>
      </c>
      <c r="F29" s="67" t="s">
        <v>39</v>
      </c>
      <c r="G29" s="34" t="s">
        <v>32</v>
      </c>
      <c r="H29" s="42"/>
      <c r="I29" s="65" t="s">
        <v>385</v>
      </c>
      <c r="J29" s="44"/>
      <c r="K29" s="86" t="s">
        <v>429</v>
      </c>
      <c r="L29" s="70" t="s">
        <v>453</v>
      </c>
      <c r="M29" s="38"/>
      <c r="N29" s="38"/>
      <c r="O29" s="38"/>
      <c r="P29" s="38"/>
    </row>
    <row r="30" ht="22.5" customHeight="1">
      <c r="A30" s="30" t="s">
        <v>454</v>
      </c>
      <c r="B30" s="31" t="s">
        <v>455</v>
      </c>
      <c r="C30" s="31"/>
      <c r="D30" s="31" t="s">
        <v>456</v>
      </c>
      <c r="E30" s="31" t="s">
        <v>339</v>
      </c>
      <c r="F30" s="18" t="s">
        <v>39</v>
      </c>
      <c r="G30" s="34" t="s">
        <v>32</v>
      </c>
      <c r="H30" s="35"/>
      <c r="I30" s="51" t="s">
        <v>385</v>
      </c>
      <c r="J30" s="32"/>
      <c r="K30" s="86" t="s">
        <v>429</v>
      </c>
      <c r="L30" s="70" t="s">
        <v>448</v>
      </c>
      <c r="M30" s="70" t="s">
        <v>449</v>
      </c>
      <c r="N30" s="38"/>
      <c r="O30" s="38"/>
      <c r="P30" s="38"/>
    </row>
    <row r="31" ht="22.5" customHeight="1">
      <c r="A31" s="52" t="s">
        <v>457</v>
      </c>
      <c r="B31" s="53" t="s">
        <v>458</v>
      </c>
      <c r="C31" s="53"/>
      <c r="D31" s="53" t="s">
        <v>459</v>
      </c>
      <c r="E31" s="53" t="s">
        <v>339</v>
      </c>
      <c r="F31" s="75" t="s">
        <v>39</v>
      </c>
      <c r="G31" s="34" t="s">
        <v>32</v>
      </c>
      <c r="H31" s="56"/>
      <c r="I31" s="57" t="s">
        <v>385</v>
      </c>
      <c r="J31" s="54"/>
      <c r="K31" s="86" t="s">
        <v>460</v>
      </c>
      <c r="L31" s="70" t="s">
        <v>461</v>
      </c>
      <c r="M31" s="70" t="s">
        <v>462</v>
      </c>
      <c r="N31" s="70" t="s">
        <v>463</v>
      </c>
      <c r="O31" s="38"/>
      <c r="P31" s="38"/>
    </row>
    <row r="32" ht="22.5" customHeight="1">
      <c r="A32" s="30" t="s">
        <v>464</v>
      </c>
      <c r="B32" s="31" t="s">
        <v>465</v>
      </c>
      <c r="C32" s="31"/>
      <c r="D32" s="31" t="s">
        <v>466</v>
      </c>
      <c r="E32" s="31" t="s">
        <v>339</v>
      </c>
      <c r="F32" s="18" t="s">
        <v>39</v>
      </c>
      <c r="G32" s="34" t="s">
        <v>32</v>
      </c>
      <c r="H32" s="35"/>
      <c r="I32" s="43" t="s">
        <v>385</v>
      </c>
      <c r="J32" s="32"/>
      <c r="K32" s="37"/>
      <c r="L32" s="46" t="s">
        <v>467</v>
      </c>
      <c r="M32" s="70" t="s">
        <v>468</v>
      </c>
      <c r="N32" s="70" t="s">
        <v>469</v>
      </c>
      <c r="O32" s="70" t="s">
        <v>470</v>
      </c>
      <c r="P32" s="46" t="s">
        <v>471</v>
      </c>
    </row>
    <row r="33" ht="22.5" customHeight="1">
      <c r="A33" s="39" t="s">
        <v>472</v>
      </c>
      <c r="B33" s="50" t="s">
        <v>473</v>
      </c>
      <c r="C33" s="44"/>
      <c r="D33" s="44"/>
      <c r="E33" s="40" t="s">
        <v>339</v>
      </c>
      <c r="F33" s="41" t="s">
        <v>163</v>
      </c>
      <c r="G33" s="34" t="s">
        <v>32</v>
      </c>
      <c r="H33" s="42"/>
      <c r="I33" s="50" t="s">
        <v>474</v>
      </c>
      <c r="J33" s="40"/>
      <c r="K33" s="45" t="s">
        <v>475</v>
      </c>
      <c r="L33" s="38"/>
      <c r="M33" s="38"/>
      <c r="N33" s="38"/>
      <c r="O33" s="38"/>
      <c r="P33" s="38"/>
    </row>
    <row r="34" ht="22.5" customHeight="1">
      <c r="A34" s="89" t="s">
        <v>476</v>
      </c>
      <c r="B34" s="62" t="s">
        <v>477</v>
      </c>
      <c r="C34" s="62" t="s">
        <v>478</v>
      </c>
      <c r="D34" s="90"/>
      <c r="E34" s="31" t="s">
        <v>339</v>
      </c>
      <c r="F34" s="91" t="s">
        <v>39</v>
      </c>
      <c r="G34" s="34" t="s">
        <v>32</v>
      </c>
      <c r="H34" s="92"/>
      <c r="I34" s="93" t="s">
        <v>365</v>
      </c>
      <c r="J34" s="90"/>
      <c r="K34" s="94"/>
    </row>
    <row r="35" ht="22.5" customHeight="1">
      <c r="A35" s="52" t="s">
        <v>479</v>
      </c>
      <c r="B35" s="53" t="s">
        <v>480</v>
      </c>
      <c r="C35" s="54"/>
      <c r="D35" s="54"/>
      <c r="E35" s="53" t="s">
        <v>339</v>
      </c>
      <c r="F35" s="95" t="s">
        <v>481</v>
      </c>
      <c r="G35" s="34" t="s">
        <v>32</v>
      </c>
      <c r="H35" s="56"/>
      <c r="I35" s="71" t="s">
        <v>482</v>
      </c>
      <c r="J35" s="54"/>
      <c r="K35" s="79" t="s">
        <v>483</v>
      </c>
      <c r="L35" s="38"/>
      <c r="M35" s="38"/>
      <c r="N35" s="38"/>
      <c r="O35" s="38"/>
      <c r="P35" s="38"/>
    </row>
    <row r="36" ht="22.5" customHeight="1">
      <c r="A36" s="30" t="s">
        <v>484</v>
      </c>
      <c r="B36" s="36" t="s">
        <v>485</v>
      </c>
      <c r="C36" s="31"/>
      <c r="D36" s="31" t="s">
        <v>486</v>
      </c>
      <c r="E36" s="31" t="s">
        <v>339</v>
      </c>
      <c r="F36" s="18" t="s">
        <v>39</v>
      </c>
      <c r="G36" s="34" t="s">
        <v>32</v>
      </c>
      <c r="H36" s="96" t="s">
        <v>52</v>
      </c>
      <c r="I36" s="36" t="s">
        <v>487</v>
      </c>
      <c r="J36" s="31"/>
      <c r="K36" s="37"/>
      <c r="L36" s="97" t="s">
        <v>488</v>
      </c>
      <c r="M36" s="38"/>
      <c r="N36" s="38"/>
      <c r="O36" s="38"/>
      <c r="P36" s="38"/>
    </row>
    <row r="37" ht="22.5" customHeight="1">
      <c r="A37" s="39" t="s">
        <v>489</v>
      </c>
      <c r="B37" s="40" t="s">
        <v>490</v>
      </c>
      <c r="C37" s="44"/>
      <c r="D37" s="44"/>
      <c r="E37" s="40" t="s">
        <v>339</v>
      </c>
      <c r="F37" s="98" t="s">
        <v>31</v>
      </c>
      <c r="G37" s="34" t="s">
        <v>32</v>
      </c>
      <c r="H37" s="42"/>
      <c r="I37" s="43" t="s">
        <v>357</v>
      </c>
      <c r="J37" s="44"/>
      <c r="K37" s="69"/>
      <c r="L37" s="38"/>
      <c r="M37" s="38"/>
      <c r="N37" s="38"/>
      <c r="O37" s="38"/>
      <c r="P37" s="38"/>
    </row>
    <row r="38" ht="22.5" customHeight="1">
      <c r="A38" s="59" t="s">
        <v>491</v>
      </c>
      <c r="B38" s="62" t="s">
        <v>492</v>
      </c>
      <c r="C38" s="61"/>
      <c r="D38" s="61"/>
      <c r="E38" s="62" t="s">
        <v>339</v>
      </c>
      <c r="F38" s="63" t="s">
        <v>31</v>
      </c>
      <c r="G38" s="34" t="s">
        <v>32</v>
      </c>
      <c r="H38" s="64"/>
      <c r="I38" s="65" t="s">
        <v>493</v>
      </c>
      <c r="J38" s="61"/>
      <c r="K38" s="66"/>
      <c r="L38" s="38"/>
      <c r="M38" s="38"/>
      <c r="N38" s="38"/>
      <c r="O38" s="38"/>
      <c r="P38" s="38"/>
    </row>
    <row r="39" ht="22.5" customHeight="1">
      <c r="A39" s="39" t="s">
        <v>494</v>
      </c>
      <c r="B39" s="40" t="s">
        <v>495</v>
      </c>
      <c r="C39" s="44"/>
      <c r="D39" s="44"/>
      <c r="E39" s="40" t="s">
        <v>339</v>
      </c>
      <c r="F39" s="98" t="s">
        <v>31</v>
      </c>
      <c r="G39" s="34" t="s">
        <v>32</v>
      </c>
      <c r="H39" s="42"/>
      <c r="I39" s="50" t="s">
        <v>340</v>
      </c>
      <c r="J39" s="44"/>
      <c r="K39" s="69"/>
      <c r="L39" s="38"/>
      <c r="M39" s="38"/>
      <c r="N39" s="38"/>
      <c r="O39" s="38"/>
      <c r="P39" s="38"/>
    </row>
    <row r="40" ht="22.5" customHeight="1">
      <c r="A40" s="30" t="s">
        <v>496</v>
      </c>
      <c r="B40" s="31" t="s">
        <v>497</v>
      </c>
      <c r="C40" s="32"/>
      <c r="D40" s="32"/>
      <c r="E40" s="31" t="s">
        <v>339</v>
      </c>
      <c r="F40" s="99" t="s">
        <v>481</v>
      </c>
      <c r="G40" s="34" t="s">
        <v>32</v>
      </c>
      <c r="H40" s="35"/>
      <c r="I40" s="51" t="s">
        <v>357</v>
      </c>
      <c r="J40" s="32"/>
      <c r="K40" s="37"/>
      <c r="L40" s="38"/>
      <c r="M40" s="38"/>
      <c r="N40" s="38"/>
      <c r="O40" s="38"/>
      <c r="P40" s="38"/>
    </row>
    <row r="41" ht="22.5" customHeight="1">
      <c r="A41" s="39" t="s">
        <v>498</v>
      </c>
      <c r="B41" s="40" t="s">
        <v>499</v>
      </c>
      <c r="C41" s="44"/>
      <c r="D41" s="44"/>
      <c r="E41" s="40" t="s">
        <v>339</v>
      </c>
      <c r="F41" s="98" t="s">
        <v>31</v>
      </c>
      <c r="G41" s="34" t="s">
        <v>32</v>
      </c>
      <c r="H41" s="42"/>
      <c r="I41" s="43" t="s">
        <v>500</v>
      </c>
      <c r="J41" s="44"/>
      <c r="K41" s="69"/>
      <c r="L41" s="38"/>
      <c r="M41" s="38"/>
      <c r="N41" s="38"/>
      <c r="O41" s="38"/>
      <c r="P41" s="38"/>
    </row>
    <row r="42" ht="22.5" customHeight="1">
      <c r="A42" s="30" t="s">
        <v>501</v>
      </c>
      <c r="B42" s="31" t="s">
        <v>502</v>
      </c>
      <c r="C42" s="32"/>
      <c r="D42" s="32"/>
      <c r="E42" s="31" t="s">
        <v>339</v>
      </c>
      <c r="F42" s="81" t="s">
        <v>163</v>
      </c>
      <c r="G42" s="34" t="s">
        <v>32</v>
      </c>
      <c r="H42" s="35"/>
      <c r="I42" s="51" t="s">
        <v>353</v>
      </c>
      <c r="J42" s="32"/>
      <c r="K42" s="49" t="s">
        <v>503</v>
      </c>
      <c r="L42" s="38"/>
      <c r="M42" s="38"/>
      <c r="N42" s="38"/>
      <c r="O42" s="38"/>
      <c r="P42" s="38"/>
    </row>
    <row r="43" ht="22.5" customHeight="1">
      <c r="A43" s="52" t="s">
        <v>504</v>
      </c>
      <c r="B43" s="53" t="s">
        <v>505</v>
      </c>
      <c r="C43" s="53"/>
      <c r="D43" s="53" t="s">
        <v>506</v>
      </c>
      <c r="E43" s="53" t="s">
        <v>339</v>
      </c>
      <c r="F43" s="55" t="s">
        <v>31</v>
      </c>
      <c r="G43" s="34" t="s">
        <v>32</v>
      </c>
      <c r="H43" s="56"/>
      <c r="I43" s="36" t="s">
        <v>507</v>
      </c>
      <c r="J43" s="53" t="s">
        <v>508</v>
      </c>
      <c r="K43" s="79" t="s">
        <v>509</v>
      </c>
      <c r="L43" s="38"/>
      <c r="M43" s="38"/>
      <c r="N43" s="38"/>
      <c r="O43" s="38"/>
      <c r="P43" s="38"/>
    </row>
    <row r="44" ht="22.5" customHeight="1">
      <c r="A44" s="30" t="s">
        <v>510</v>
      </c>
      <c r="B44" s="31" t="s">
        <v>511</v>
      </c>
      <c r="C44" s="31"/>
      <c r="D44" s="31" t="s">
        <v>512</v>
      </c>
      <c r="E44" s="31" t="s">
        <v>339</v>
      </c>
      <c r="F44" s="18" t="s">
        <v>39</v>
      </c>
      <c r="G44" s="34" t="s">
        <v>32</v>
      </c>
      <c r="H44" s="35"/>
      <c r="I44" s="51" t="s">
        <v>385</v>
      </c>
      <c r="J44" s="32"/>
      <c r="K44" s="37"/>
      <c r="L44" s="46" t="s">
        <v>513</v>
      </c>
      <c r="M44" s="38"/>
      <c r="N44" s="38"/>
      <c r="O44" s="38"/>
      <c r="P44" s="38"/>
    </row>
    <row r="45" ht="22.5" customHeight="1">
      <c r="A45" s="39" t="s">
        <v>514</v>
      </c>
      <c r="B45" s="40" t="s">
        <v>515</v>
      </c>
      <c r="C45" s="40"/>
      <c r="D45" s="40" t="s">
        <v>516</v>
      </c>
      <c r="E45" s="40" t="s">
        <v>339</v>
      </c>
      <c r="F45" s="41" t="s">
        <v>163</v>
      </c>
      <c r="G45" s="34" t="s">
        <v>32</v>
      </c>
      <c r="H45" s="42"/>
      <c r="I45" s="80" t="s">
        <v>517</v>
      </c>
      <c r="J45" s="44"/>
      <c r="K45" s="45" t="s">
        <v>518</v>
      </c>
      <c r="L45" s="46" t="s">
        <v>519</v>
      </c>
      <c r="M45" s="38"/>
      <c r="N45" s="38"/>
      <c r="O45" s="38"/>
      <c r="P45" s="38"/>
    </row>
    <row r="46" ht="22.5" customHeight="1">
      <c r="A46" s="30" t="s">
        <v>520</v>
      </c>
      <c r="B46" s="36" t="s">
        <v>521</v>
      </c>
      <c r="C46" s="31"/>
      <c r="D46" s="31" t="s">
        <v>522</v>
      </c>
      <c r="E46" s="31" t="s">
        <v>339</v>
      </c>
      <c r="F46" s="81" t="s">
        <v>163</v>
      </c>
      <c r="G46" s="34" t="s">
        <v>32</v>
      </c>
      <c r="H46" s="35"/>
      <c r="I46" s="36" t="s">
        <v>517</v>
      </c>
      <c r="J46" s="31"/>
      <c r="K46" s="49" t="s">
        <v>523</v>
      </c>
      <c r="L46" s="38"/>
      <c r="M46" s="38"/>
      <c r="N46" s="38"/>
      <c r="O46" s="38"/>
      <c r="P46" s="38"/>
    </row>
    <row r="47" ht="22.5" customHeight="1">
      <c r="A47" s="52" t="s">
        <v>524</v>
      </c>
      <c r="B47" s="71" t="s">
        <v>525</v>
      </c>
      <c r="C47" s="53"/>
      <c r="D47" s="53" t="s">
        <v>526</v>
      </c>
      <c r="E47" s="53" t="s">
        <v>339</v>
      </c>
      <c r="F47" s="78" t="s">
        <v>163</v>
      </c>
      <c r="G47" s="34" t="s">
        <v>32</v>
      </c>
      <c r="H47" s="56"/>
      <c r="I47" s="71" t="s">
        <v>517</v>
      </c>
      <c r="J47" s="53"/>
      <c r="K47" s="79" t="s">
        <v>527</v>
      </c>
      <c r="L47" s="70" t="s">
        <v>528</v>
      </c>
      <c r="M47" s="38"/>
      <c r="N47" s="38"/>
      <c r="O47" s="38"/>
      <c r="P47" s="38"/>
    </row>
    <row r="48" ht="22.5" customHeight="1">
      <c r="A48" s="30" t="s">
        <v>529</v>
      </c>
      <c r="B48" s="31" t="s">
        <v>530</v>
      </c>
      <c r="C48" s="32"/>
      <c r="D48" s="32"/>
      <c r="E48" s="31" t="s">
        <v>339</v>
      </c>
      <c r="F48" s="33" t="s">
        <v>31</v>
      </c>
      <c r="G48" s="34" t="s">
        <v>32</v>
      </c>
      <c r="H48" s="35"/>
      <c r="I48" s="36" t="s">
        <v>340</v>
      </c>
      <c r="J48" s="32"/>
      <c r="K48" s="37"/>
      <c r="L48" s="38"/>
      <c r="M48" s="38"/>
      <c r="N48" s="38"/>
      <c r="O48" s="38"/>
      <c r="P48" s="38"/>
    </row>
    <row r="49" ht="22.5" customHeight="1">
      <c r="A49" s="39" t="s">
        <v>531</v>
      </c>
      <c r="B49" s="50" t="s">
        <v>532</v>
      </c>
      <c r="C49" s="40"/>
      <c r="D49" s="40" t="s">
        <v>533</v>
      </c>
      <c r="E49" s="40" t="s">
        <v>339</v>
      </c>
      <c r="F49" s="67" t="s">
        <v>39</v>
      </c>
      <c r="G49" s="34" t="s">
        <v>32</v>
      </c>
      <c r="H49" s="68" t="s">
        <v>33</v>
      </c>
      <c r="I49" s="50" t="s">
        <v>534</v>
      </c>
      <c r="J49" s="40"/>
      <c r="K49" s="45" t="s">
        <v>535</v>
      </c>
      <c r="L49" s="38"/>
      <c r="M49" s="38"/>
      <c r="N49" s="38"/>
      <c r="O49" s="38"/>
      <c r="P49" s="38"/>
    </row>
    <row r="50" ht="22.5" customHeight="1">
      <c r="A50" s="59" t="s">
        <v>536</v>
      </c>
      <c r="B50" s="62" t="s">
        <v>537</v>
      </c>
      <c r="C50" s="61"/>
      <c r="D50" s="61"/>
      <c r="E50" s="62" t="s">
        <v>339</v>
      </c>
      <c r="F50" s="63" t="s">
        <v>31</v>
      </c>
      <c r="G50" s="34" t="s">
        <v>32</v>
      </c>
      <c r="H50" s="64"/>
      <c r="I50" s="60" t="s">
        <v>538</v>
      </c>
      <c r="J50" s="61"/>
      <c r="K50" s="66"/>
      <c r="L50" s="38"/>
      <c r="M50" s="38"/>
      <c r="N50" s="38"/>
      <c r="O50" s="38"/>
      <c r="P50" s="38"/>
    </row>
    <row r="51" ht="22.5" customHeight="1">
      <c r="A51" s="52" t="s">
        <v>539</v>
      </c>
      <c r="B51" s="53" t="s">
        <v>540</v>
      </c>
      <c r="C51" s="53"/>
      <c r="D51" s="53" t="s">
        <v>541</v>
      </c>
      <c r="E51" s="53" t="s">
        <v>339</v>
      </c>
      <c r="F51" s="78" t="s">
        <v>163</v>
      </c>
      <c r="G51" s="34" t="s">
        <v>32</v>
      </c>
      <c r="H51" s="100" t="s">
        <v>72</v>
      </c>
      <c r="I51" s="57" t="s">
        <v>493</v>
      </c>
      <c r="J51" s="53" t="s">
        <v>542</v>
      </c>
      <c r="K51" s="79" t="s">
        <v>543</v>
      </c>
      <c r="L51" s="38"/>
      <c r="M51" s="38"/>
      <c r="N51" s="38"/>
      <c r="O51" s="38"/>
      <c r="P51" s="38"/>
    </row>
    <row r="52" ht="22.5" customHeight="1">
      <c r="A52" s="59" t="s">
        <v>544</v>
      </c>
      <c r="B52" s="60" t="s">
        <v>545</v>
      </c>
      <c r="C52" s="62"/>
      <c r="D52" s="62" t="s">
        <v>546</v>
      </c>
      <c r="E52" s="62" t="s">
        <v>339</v>
      </c>
      <c r="F52" s="101" t="s">
        <v>163</v>
      </c>
      <c r="G52" s="34" t="s">
        <v>32</v>
      </c>
      <c r="H52" s="73" t="s">
        <v>158</v>
      </c>
      <c r="I52" s="60" t="s">
        <v>547</v>
      </c>
      <c r="J52" s="62"/>
      <c r="K52" s="74" t="s">
        <v>548</v>
      </c>
      <c r="L52" s="38"/>
      <c r="M52" s="38"/>
      <c r="N52" s="38"/>
      <c r="O52" s="38"/>
      <c r="P52" s="38"/>
    </row>
    <row r="53" ht="22.5" customHeight="1">
      <c r="A53" s="39" t="s">
        <v>549</v>
      </c>
      <c r="B53" s="50" t="s">
        <v>550</v>
      </c>
      <c r="C53" s="44"/>
      <c r="D53" s="44"/>
      <c r="E53" s="40" t="s">
        <v>339</v>
      </c>
      <c r="F53" s="98" t="s">
        <v>31</v>
      </c>
      <c r="G53" s="34" t="s">
        <v>32</v>
      </c>
      <c r="H53" s="42"/>
      <c r="I53" s="43" t="s">
        <v>493</v>
      </c>
      <c r="J53" s="44"/>
      <c r="K53" s="69"/>
      <c r="L53" s="38"/>
      <c r="M53" s="38"/>
      <c r="N53" s="38"/>
      <c r="O53" s="38"/>
      <c r="P53" s="38"/>
    </row>
    <row r="54" ht="22.5" customHeight="1">
      <c r="A54" s="30" t="s">
        <v>551</v>
      </c>
      <c r="B54" s="31" t="s">
        <v>552</v>
      </c>
      <c r="C54" s="32"/>
      <c r="D54" s="32"/>
      <c r="E54" s="31" t="s">
        <v>339</v>
      </c>
      <c r="F54" s="81" t="s">
        <v>163</v>
      </c>
      <c r="G54" s="34" t="s">
        <v>32</v>
      </c>
      <c r="H54" s="102" t="s">
        <v>72</v>
      </c>
      <c r="I54" s="51" t="s">
        <v>353</v>
      </c>
      <c r="J54" s="32"/>
      <c r="K54" s="49" t="s">
        <v>553</v>
      </c>
      <c r="L54" s="38"/>
      <c r="M54" s="38"/>
      <c r="N54" s="38"/>
      <c r="O54" s="38"/>
      <c r="P54" s="38"/>
    </row>
    <row r="55" ht="22.5" customHeight="1">
      <c r="A55" s="39" t="s">
        <v>554</v>
      </c>
      <c r="B55" s="40" t="s">
        <v>555</v>
      </c>
      <c r="C55" s="44"/>
      <c r="D55" s="44"/>
      <c r="E55" s="40" t="s">
        <v>339</v>
      </c>
      <c r="F55" s="41" t="s">
        <v>163</v>
      </c>
      <c r="G55" s="34" t="s">
        <v>32</v>
      </c>
      <c r="H55" s="103" t="s">
        <v>72</v>
      </c>
      <c r="I55" s="43" t="s">
        <v>353</v>
      </c>
      <c r="J55" s="44"/>
      <c r="K55" s="45" t="s">
        <v>553</v>
      </c>
      <c r="L55" s="38"/>
      <c r="M55" s="38"/>
      <c r="N55" s="38"/>
      <c r="O55" s="38"/>
      <c r="P55" s="38"/>
    </row>
    <row r="56" ht="22.5" customHeight="1">
      <c r="A56" s="30" t="s">
        <v>556</v>
      </c>
      <c r="B56" s="31" t="s">
        <v>557</v>
      </c>
      <c r="C56" s="32"/>
      <c r="D56" s="32"/>
      <c r="E56" s="31" t="s">
        <v>339</v>
      </c>
      <c r="F56" s="81" t="s">
        <v>163</v>
      </c>
      <c r="G56" s="34" t="s">
        <v>32</v>
      </c>
      <c r="H56" s="102" t="s">
        <v>72</v>
      </c>
      <c r="I56" s="51" t="s">
        <v>353</v>
      </c>
      <c r="J56" s="32"/>
      <c r="K56" s="49" t="s">
        <v>553</v>
      </c>
      <c r="L56" s="38"/>
      <c r="M56" s="38"/>
      <c r="N56" s="38"/>
      <c r="O56" s="38"/>
      <c r="P56" s="38"/>
    </row>
    <row r="57" ht="22.5" customHeight="1">
      <c r="A57" s="39" t="s">
        <v>558</v>
      </c>
      <c r="B57" s="40" t="s">
        <v>559</v>
      </c>
      <c r="C57" s="44"/>
      <c r="D57" s="44"/>
      <c r="E57" s="40" t="s">
        <v>339</v>
      </c>
      <c r="F57" s="41" t="s">
        <v>163</v>
      </c>
      <c r="G57" s="34" t="s">
        <v>32</v>
      </c>
      <c r="H57" s="103" t="s">
        <v>72</v>
      </c>
      <c r="I57" s="43" t="s">
        <v>353</v>
      </c>
      <c r="J57" s="44"/>
      <c r="K57" s="45" t="s">
        <v>553</v>
      </c>
      <c r="L57" s="38"/>
      <c r="M57" s="38"/>
      <c r="N57" s="38"/>
      <c r="O57" s="38"/>
      <c r="P57" s="38"/>
    </row>
    <row r="58" ht="22.5" customHeight="1">
      <c r="A58" s="59" t="s">
        <v>560</v>
      </c>
      <c r="B58" s="60" t="s">
        <v>561</v>
      </c>
      <c r="C58" s="62"/>
      <c r="D58" s="62" t="s">
        <v>562</v>
      </c>
      <c r="E58" s="62" t="s">
        <v>339</v>
      </c>
      <c r="F58" s="72" t="s">
        <v>226</v>
      </c>
      <c r="G58" s="34" t="s">
        <v>32</v>
      </c>
      <c r="H58" s="73" t="s">
        <v>52</v>
      </c>
      <c r="I58" s="36" t="s">
        <v>517</v>
      </c>
      <c r="J58" s="62"/>
      <c r="K58" s="74" t="s">
        <v>563</v>
      </c>
      <c r="L58" s="38"/>
      <c r="M58" s="38"/>
      <c r="N58" s="38"/>
      <c r="O58" s="38"/>
      <c r="P58" s="38"/>
    </row>
    <row r="59" ht="22.5" customHeight="1">
      <c r="A59" s="39" t="s">
        <v>564</v>
      </c>
      <c r="B59" s="50" t="s">
        <v>565</v>
      </c>
      <c r="C59" s="40"/>
      <c r="D59" s="40" t="s">
        <v>566</v>
      </c>
      <c r="E59" s="40" t="s">
        <v>339</v>
      </c>
      <c r="F59" s="104" t="s">
        <v>226</v>
      </c>
      <c r="G59" s="34" t="s">
        <v>32</v>
      </c>
      <c r="H59" s="68" t="s">
        <v>33</v>
      </c>
      <c r="I59" s="83" t="s">
        <v>395</v>
      </c>
      <c r="J59" s="40"/>
      <c r="K59" s="69"/>
      <c r="L59" s="38"/>
      <c r="M59" s="38"/>
      <c r="N59" s="38"/>
      <c r="O59" s="38"/>
      <c r="P59" s="38"/>
    </row>
    <row r="60" ht="22.5" customHeight="1">
      <c r="A60" s="59" t="s">
        <v>567</v>
      </c>
      <c r="B60" s="62" t="s">
        <v>568</v>
      </c>
      <c r="C60" s="61"/>
      <c r="D60" s="61"/>
      <c r="E60" s="62" t="s">
        <v>339</v>
      </c>
      <c r="F60" s="105" t="s">
        <v>481</v>
      </c>
      <c r="G60" s="34" t="s">
        <v>32</v>
      </c>
      <c r="H60" s="64"/>
      <c r="I60" s="60" t="s">
        <v>569</v>
      </c>
      <c r="J60" s="61"/>
      <c r="K60" s="66"/>
      <c r="L60" s="38"/>
      <c r="M60" s="38"/>
      <c r="N60" s="38"/>
      <c r="O60" s="38"/>
      <c r="P60" s="38"/>
    </row>
    <row r="61" ht="22.5" customHeight="1">
      <c r="A61" s="52" t="s">
        <v>570</v>
      </c>
      <c r="B61" s="53" t="s">
        <v>571</v>
      </c>
      <c r="C61" s="54"/>
      <c r="D61" s="54"/>
      <c r="E61" s="53" t="s">
        <v>339</v>
      </c>
      <c r="F61" s="106" t="s">
        <v>481</v>
      </c>
      <c r="G61" s="34" t="s">
        <v>32</v>
      </c>
      <c r="H61" s="56"/>
      <c r="I61" s="50" t="s">
        <v>569</v>
      </c>
      <c r="J61" s="54"/>
      <c r="K61" s="58"/>
      <c r="L61" s="38"/>
      <c r="M61" s="38"/>
      <c r="N61" s="38"/>
      <c r="O61" s="38"/>
      <c r="P61" s="38"/>
    </row>
    <row r="62" ht="22.5" customHeight="1">
      <c r="A62" s="30" t="s">
        <v>572</v>
      </c>
      <c r="B62" s="36" t="s">
        <v>573</v>
      </c>
      <c r="C62" s="32"/>
      <c r="D62" s="32"/>
      <c r="E62" s="31" t="s">
        <v>339</v>
      </c>
      <c r="F62" s="18" t="s">
        <v>39</v>
      </c>
      <c r="G62" s="34" t="s">
        <v>32</v>
      </c>
      <c r="H62" s="96" t="s">
        <v>52</v>
      </c>
      <c r="I62" s="51" t="s">
        <v>344</v>
      </c>
      <c r="J62" s="31"/>
      <c r="K62" s="37"/>
      <c r="L62" s="70" t="s">
        <v>574</v>
      </c>
      <c r="M62" s="38"/>
      <c r="N62" s="38"/>
      <c r="O62" s="38"/>
      <c r="P62" s="38"/>
    </row>
    <row r="63" ht="22.5" customHeight="1">
      <c r="A63" s="107" t="s">
        <v>575</v>
      </c>
      <c r="B63" s="53" t="s">
        <v>576</v>
      </c>
      <c r="C63" s="54"/>
      <c r="D63" s="108"/>
      <c r="E63" s="31" t="s">
        <v>339</v>
      </c>
      <c r="F63" s="109" t="s">
        <v>31</v>
      </c>
      <c r="G63" s="34" t="s">
        <v>32</v>
      </c>
      <c r="H63" s="110"/>
      <c r="I63" s="111" t="s">
        <v>395</v>
      </c>
      <c r="J63" s="108"/>
      <c r="K63" s="112" t="s">
        <v>577</v>
      </c>
      <c r="L63" s="38"/>
      <c r="M63" s="38"/>
      <c r="N63" s="38"/>
      <c r="O63" s="38"/>
      <c r="P63" s="38"/>
    </row>
    <row r="64" ht="22.5" customHeight="1">
      <c r="F64" s="14"/>
      <c r="G64" s="15"/>
      <c r="H64" s="14"/>
      <c r="I64" s="15"/>
    </row>
    <row r="65" ht="22.5" customHeight="1">
      <c r="F65" s="14"/>
      <c r="G65" s="15"/>
      <c r="H65" s="14"/>
      <c r="I65" s="15"/>
    </row>
    <row r="66" ht="22.5" customHeight="1">
      <c r="F66" s="14"/>
      <c r="G66" s="15"/>
      <c r="H66" s="14"/>
      <c r="I66" s="15"/>
    </row>
    <row r="67" ht="22.5" customHeight="1">
      <c r="F67" s="14"/>
      <c r="G67" s="15"/>
      <c r="H67" s="14"/>
      <c r="I67" s="15"/>
    </row>
    <row r="68" ht="22.5" customHeight="1">
      <c r="F68" s="14"/>
      <c r="G68" s="15"/>
      <c r="H68" s="14"/>
      <c r="I68" s="15"/>
    </row>
    <row r="69" ht="22.5" customHeight="1">
      <c r="F69" s="14"/>
      <c r="G69" s="15"/>
      <c r="H69" s="14"/>
      <c r="I69" s="15"/>
    </row>
    <row r="70" ht="22.5" customHeight="1">
      <c r="F70" s="14"/>
      <c r="G70" s="15"/>
      <c r="H70" s="14"/>
      <c r="I70" s="15"/>
    </row>
  </sheetData>
  <dataValidations>
    <dataValidation type="list" allowBlank="1" sqref="F2:F70">
      <formula1>"Publicado,Prioritario,Modificar,Por hacer,Ampliar,Eliminar"</formula1>
    </dataValidation>
    <dataValidation type="list" allowBlank="1" sqref="H2:H70">
      <formula1>"Sanjay,Manuela,Belén,Mateo,Catalina,David,Nicolás"</formula1>
    </dataValidation>
    <dataValidation type="list" allowBlank="1" sqref="I2:I70">
      <formula1>"Historias potentes,Sobre el internet,Te ha pasado,Preguntas incómodas,Vamos a romper,Metodologías,De Voltaje a SOLE,Curiosidades"</formula1>
    </dataValidation>
  </dataValidations>
  <hyperlinks>
    <hyperlink r:id="rId1" ref="L3"/>
    <hyperlink r:id="rId2" ref="L9"/>
    <hyperlink r:id="rId3" ref="L15"/>
    <hyperlink r:id="rId4" ref="L20"/>
    <hyperlink r:id="rId5" ref="L24"/>
    <hyperlink r:id="rId6" ref="M24"/>
    <hyperlink r:id="rId7" ref="N24"/>
    <hyperlink r:id="rId8" ref="O24"/>
    <hyperlink r:id="rId9" ref="P24"/>
    <hyperlink r:id="rId10" ref="L25"/>
    <hyperlink r:id="rId11" ref="M25"/>
    <hyperlink r:id="rId12" ref="L26"/>
    <hyperlink r:id="rId13" ref="M26"/>
    <hyperlink r:id="rId14" ref="L27"/>
    <hyperlink r:id="rId15" ref="M27"/>
    <hyperlink r:id="rId16" ref="N27"/>
    <hyperlink r:id="rId17" ref="L28"/>
    <hyperlink r:id="rId18" ref="M28"/>
    <hyperlink r:id="rId19" ref="L29"/>
    <hyperlink r:id="rId20" ref="L30"/>
    <hyperlink r:id="rId21" ref="M30"/>
    <hyperlink r:id="rId22" ref="L31"/>
    <hyperlink r:id="rId23" ref="M31"/>
    <hyperlink r:id="rId24" ref="N31"/>
    <hyperlink r:id="rId25" ref="L32"/>
    <hyperlink r:id="rId26" ref="M32"/>
    <hyperlink r:id="rId27" ref="N32"/>
    <hyperlink r:id="rId28" ref="O32"/>
    <hyperlink r:id="rId29" ref="P32"/>
    <hyperlink r:id="rId30" ref="L44"/>
    <hyperlink r:id="rId31" ref="L45"/>
    <hyperlink r:id="rId32" ref="L47"/>
    <hyperlink r:id="rId33" ref="L62"/>
  </hyperlinks>
  <drawing r:id="rId34"/>
  <tableParts count="1">
    <tablePart r:id="rId3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7.0"/>
    <col customWidth="1" hidden="1" min="3" max="3" width="18.25"/>
    <col customWidth="1" min="4" max="4" width="27.13"/>
    <col customWidth="1" min="6" max="6" width="18.38"/>
    <col customWidth="1" min="7" max="8" width="17.38"/>
    <col customWidth="1" min="9" max="9" width="45.38"/>
    <col customWidth="1" min="10" max="10" width="24.88"/>
    <col customWidth="1" min="11" max="11" width="20.38"/>
  </cols>
  <sheetData>
    <row r="1" ht="22.5" customHeight="1">
      <c r="A1" s="113" t="s">
        <v>0</v>
      </c>
      <c r="B1" s="114" t="s">
        <v>1</v>
      </c>
      <c r="C1" s="114" t="s">
        <v>3</v>
      </c>
      <c r="D1" s="114" t="s">
        <v>2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14</v>
      </c>
      <c r="K1" s="115" t="s">
        <v>15</v>
      </c>
    </row>
    <row r="2" ht="24.75" customHeight="1">
      <c r="A2" s="116" t="s">
        <v>578</v>
      </c>
      <c r="B2" s="36" t="s">
        <v>579</v>
      </c>
      <c r="C2" s="36" t="s">
        <v>580</v>
      </c>
      <c r="D2" s="36" t="s">
        <v>581</v>
      </c>
      <c r="E2" s="36" t="s">
        <v>582</v>
      </c>
      <c r="F2" s="10" t="s">
        <v>39</v>
      </c>
      <c r="G2" s="34" t="s">
        <v>32</v>
      </c>
      <c r="H2" s="117" t="s">
        <v>40</v>
      </c>
      <c r="I2" s="118" t="s">
        <v>583</v>
      </c>
      <c r="J2" s="31"/>
      <c r="K2" s="49"/>
    </row>
    <row r="3" ht="24.75" customHeight="1">
      <c r="A3" s="119" t="s">
        <v>584</v>
      </c>
      <c r="B3" s="71" t="s">
        <v>585</v>
      </c>
      <c r="C3" s="71" t="s">
        <v>586</v>
      </c>
      <c r="D3" s="120" t="s">
        <v>587</v>
      </c>
      <c r="E3" s="36" t="s">
        <v>582</v>
      </c>
      <c r="F3" s="10" t="s">
        <v>39</v>
      </c>
      <c r="G3" s="34" t="s">
        <v>32</v>
      </c>
      <c r="H3" s="121" t="s">
        <v>40</v>
      </c>
      <c r="I3" s="118" t="s">
        <v>588</v>
      </c>
      <c r="J3" s="53"/>
      <c r="K3" s="58"/>
    </row>
    <row r="4" ht="24.75" customHeight="1">
      <c r="A4" s="116" t="s">
        <v>589</v>
      </c>
      <c r="B4" s="36" t="s">
        <v>590</v>
      </c>
      <c r="C4" s="36" t="s">
        <v>591</v>
      </c>
      <c r="D4" s="36" t="s">
        <v>592</v>
      </c>
      <c r="E4" s="36" t="s">
        <v>582</v>
      </c>
      <c r="F4" s="10" t="s">
        <v>39</v>
      </c>
      <c r="G4" s="34" t="s">
        <v>32</v>
      </c>
      <c r="H4" s="35"/>
      <c r="I4" s="122" t="s">
        <v>588</v>
      </c>
      <c r="J4" s="32"/>
      <c r="K4" s="37"/>
    </row>
    <row r="5" ht="24.75" customHeight="1">
      <c r="A5" s="119" t="s">
        <v>593</v>
      </c>
      <c r="B5" s="71" t="s">
        <v>594</v>
      </c>
      <c r="C5" s="54"/>
      <c r="D5" s="112"/>
      <c r="E5" s="60" t="s">
        <v>582</v>
      </c>
      <c r="F5" s="123" t="s">
        <v>31</v>
      </c>
      <c r="G5" s="34" t="s">
        <v>32</v>
      </c>
      <c r="H5" s="56"/>
      <c r="I5" s="124"/>
      <c r="J5" s="53"/>
      <c r="K5" s="79"/>
    </row>
    <row r="6" ht="24.75" customHeight="1">
      <c r="A6" s="116" t="s">
        <v>595</v>
      </c>
      <c r="B6" s="36" t="s">
        <v>596</v>
      </c>
      <c r="C6" s="36" t="s">
        <v>596</v>
      </c>
      <c r="D6" s="120" t="s">
        <v>597</v>
      </c>
      <c r="E6" s="36" t="s">
        <v>582</v>
      </c>
      <c r="F6" s="10" t="s">
        <v>39</v>
      </c>
      <c r="G6" s="34" t="s">
        <v>32</v>
      </c>
      <c r="H6" s="125" t="s">
        <v>40</v>
      </c>
      <c r="I6" s="118" t="s">
        <v>598</v>
      </c>
      <c r="J6" s="32"/>
      <c r="K6" s="37"/>
    </row>
    <row r="7" ht="24.75" customHeight="1">
      <c r="A7" s="126" t="s">
        <v>599</v>
      </c>
      <c r="B7" s="50" t="s">
        <v>600</v>
      </c>
      <c r="C7" s="50" t="s">
        <v>601</v>
      </c>
      <c r="D7" s="120" t="s">
        <v>602</v>
      </c>
      <c r="E7" s="36" t="s">
        <v>582</v>
      </c>
      <c r="F7" s="10" t="s">
        <v>39</v>
      </c>
      <c r="G7" s="34" t="s">
        <v>32</v>
      </c>
      <c r="H7" s="127" t="s">
        <v>40</v>
      </c>
      <c r="I7" s="122" t="s">
        <v>603</v>
      </c>
      <c r="J7" s="40"/>
      <c r="K7" s="69"/>
    </row>
    <row r="8" ht="24.75" customHeight="1">
      <c r="A8" s="116" t="s">
        <v>604</v>
      </c>
      <c r="B8" s="36" t="s">
        <v>605</v>
      </c>
      <c r="C8" s="36" t="s">
        <v>606</v>
      </c>
      <c r="D8" s="36" t="s">
        <v>607</v>
      </c>
      <c r="E8" s="36" t="s">
        <v>582</v>
      </c>
      <c r="F8" s="10" t="s">
        <v>39</v>
      </c>
      <c r="G8" s="34" t="s">
        <v>32</v>
      </c>
      <c r="H8" s="35"/>
      <c r="I8" s="128" t="s">
        <v>583</v>
      </c>
      <c r="J8" s="32"/>
      <c r="K8" s="37"/>
    </row>
    <row r="9" ht="24.75" customHeight="1">
      <c r="A9" s="119" t="s">
        <v>608</v>
      </c>
      <c r="B9" s="71" t="s">
        <v>609</v>
      </c>
      <c r="C9" s="129" t="s">
        <v>610</v>
      </c>
      <c r="D9" s="120" t="s">
        <v>611</v>
      </c>
      <c r="E9" s="36" t="s">
        <v>582</v>
      </c>
      <c r="F9" s="10" t="s">
        <v>39</v>
      </c>
      <c r="G9" s="34" t="s">
        <v>32</v>
      </c>
      <c r="H9" s="130" t="s">
        <v>40</v>
      </c>
      <c r="I9" s="118" t="s">
        <v>612</v>
      </c>
      <c r="J9" s="54"/>
      <c r="K9" s="79"/>
    </row>
    <row r="10" ht="24.75" customHeight="1">
      <c r="A10" s="119" t="s">
        <v>613</v>
      </c>
      <c r="B10" s="71" t="s">
        <v>614</v>
      </c>
      <c r="C10" s="129" t="s">
        <v>615</v>
      </c>
      <c r="D10" s="120" t="s">
        <v>616</v>
      </c>
      <c r="E10" s="36" t="s">
        <v>582</v>
      </c>
      <c r="F10" s="10" t="s">
        <v>39</v>
      </c>
      <c r="G10" s="34" t="s">
        <v>32</v>
      </c>
      <c r="H10" s="130" t="s">
        <v>40</v>
      </c>
      <c r="I10" s="122" t="s">
        <v>617</v>
      </c>
      <c r="J10" s="54"/>
      <c r="K10" s="58"/>
    </row>
    <row r="11" ht="24.75" customHeight="1">
      <c r="A11" s="89" t="s">
        <v>618</v>
      </c>
      <c r="B11" s="60" t="s">
        <v>619</v>
      </c>
      <c r="C11" s="131" t="s">
        <v>620</v>
      </c>
      <c r="D11" s="36" t="s">
        <v>621</v>
      </c>
      <c r="E11" s="36" t="s">
        <v>582</v>
      </c>
      <c r="F11" s="10" t="s">
        <v>39</v>
      </c>
      <c r="G11" s="34" t="s">
        <v>32</v>
      </c>
      <c r="H11" s="132" t="s">
        <v>40</v>
      </c>
      <c r="I11" s="118" t="s">
        <v>583</v>
      </c>
      <c r="J11" s="61"/>
      <c r="K11" s="66"/>
    </row>
    <row r="12" ht="24.75" customHeight="1">
      <c r="A12" s="126" t="s">
        <v>622</v>
      </c>
      <c r="B12" s="50" t="s">
        <v>623</v>
      </c>
      <c r="C12" s="50" t="s">
        <v>624</v>
      </c>
      <c r="D12" s="120" t="s">
        <v>625</v>
      </c>
      <c r="E12" s="36" t="s">
        <v>582</v>
      </c>
      <c r="F12" s="10" t="s">
        <v>39</v>
      </c>
      <c r="G12" s="34" t="s">
        <v>32</v>
      </c>
      <c r="H12" s="42"/>
      <c r="I12" s="118" t="s">
        <v>626</v>
      </c>
      <c r="J12" s="44"/>
      <c r="K12" s="69"/>
    </row>
    <row r="13" ht="24.75" customHeight="1">
      <c r="A13" s="116" t="s">
        <v>627</v>
      </c>
      <c r="B13" s="36" t="s">
        <v>628</v>
      </c>
      <c r="C13" s="133" t="s">
        <v>629</v>
      </c>
      <c r="D13" s="36" t="s">
        <v>630</v>
      </c>
      <c r="E13" s="36" t="s">
        <v>582</v>
      </c>
      <c r="F13" s="10" t="s">
        <v>39</v>
      </c>
      <c r="G13" s="34" t="s">
        <v>32</v>
      </c>
      <c r="H13" s="125" t="s">
        <v>40</v>
      </c>
      <c r="I13" s="118" t="s">
        <v>631</v>
      </c>
      <c r="J13" s="32"/>
      <c r="K13" s="49"/>
    </row>
    <row r="14" ht="24.75" customHeight="1">
      <c r="A14" s="119" t="s">
        <v>632</v>
      </c>
      <c r="B14" s="71" t="s">
        <v>633</v>
      </c>
      <c r="C14" s="129" t="s">
        <v>634</v>
      </c>
      <c r="D14" s="120" t="s">
        <v>635</v>
      </c>
      <c r="E14" s="36" t="s">
        <v>582</v>
      </c>
      <c r="F14" s="10" t="s">
        <v>39</v>
      </c>
      <c r="G14" s="34" t="s">
        <v>32</v>
      </c>
      <c r="H14" s="130" t="s">
        <v>40</v>
      </c>
      <c r="I14" s="118" t="s">
        <v>636</v>
      </c>
      <c r="J14" s="54"/>
      <c r="K14" s="58"/>
    </row>
    <row r="15" ht="24.75" customHeight="1">
      <c r="A15" s="89" t="s">
        <v>637</v>
      </c>
      <c r="B15" s="60" t="s">
        <v>638</v>
      </c>
      <c r="C15" s="60" t="s">
        <v>639</v>
      </c>
      <c r="D15" s="36" t="s">
        <v>640</v>
      </c>
      <c r="E15" s="36" t="s">
        <v>582</v>
      </c>
      <c r="F15" s="10" t="s">
        <v>39</v>
      </c>
      <c r="G15" s="34" t="s">
        <v>32</v>
      </c>
      <c r="H15" s="134" t="s">
        <v>40</v>
      </c>
      <c r="I15" s="118" t="s">
        <v>583</v>
      </c>
      <c r="J15" s="62"/>
      <c r="K15" s="74"/>
    </row>
    <row r="16" ht="24.75" customHeight="1">
      <c r="A16" s="119" t="s">
        <v>641</v>
      </c>
      <c r="B16" s="71" t="s">
        <v>642</v>
      </c>
      <c r="C16" s="71" t="s">
        <v>643</v>
      </c>
      <c r="D16" s="120" t="s">
        <v>644</v>
      </c>
      <c r="E16" s="36" t="s">
        <v>582</v>
      </c>
      <c r="F16" s="10" t="s">
        <v>39</v>
      </c>
      <c r="G16" s="34" t="s">
        <v>32</v>
      </c>
      <c r="H16" s="130" t="s">
        <v>40</v>
      </c>
      <c r="I16" s="118" t="s">
        <v>583</v>
      </c>
      <c r="J16" s="54"/>
      <c r="K16" s="58"/>
    </row>
    <row r="17" ht="24.75" customHeight="1">
      <c r="A17" s="116" t="s">
        <v>645</v>
      </c>
      <c r="B17" s="36" t="s">
        <v>646</v>
      </c>
      <c r="C17" s="133" t="s">
        <v>647</v>
      </c>
      <c r="D17" s="36" t="s">
        <v>648</v>
      </c>
      <c r="E17" s="36" t="s">
        <v>582</v>
      </c>
      <c r="F17" s="10" t="s">
        <v>39</v>
      </c>
      <c r="G17" s="34" t="s">
        <v>32</v>
      </c>
      <c r="H17" s="125" t="s">
        <v>40</v>
      </c>
      <c r="I17" s="118" t="s">
        <v>649</v>
      </c>
      <c r="J17" s="32"/>
      <c r="K17" s="37"/>
    </row>
    <row r="18" ht="24.75" customHeight="1">
      <c r="A18" s="119" t="s">
        <v>650</v>
      </c>
      <c r="B18" s="71" t="s">
        <v>651</v>
      </c>
      <c r="C18" s="71" t="s">
        <v>652</v>
      </c>
      <c r="D18" s="120" t="s">
        <v>653</v>
      </c>
      <c r="E18" s="36" t="s">
        <v>582</v>
      </c>
      <c r="F18" s="10" t="s">
        <v>39</v>
      </c>
      <c r="G18" s="34" t="s">
        <v>32</v>
      </c>
      <c r="H18" s="130" t="s">
        <v>40</v>
      </c>
      <c r="I18" s="122" t="s">
        <v>626</v>
      </c>
      <c r="J18" s="53"/>
      <c r="K18" s="79"/>
    </row>
    <row r="19" ht="24.75" customHeight="1">
      <c r="A19" s="89" t="s">
        <v>654</v>
      </c>
      <c r="B19" s="60" t="s">
        <v>655</v>
      </c>
      <c r="C19" s="60" t="s">
        <v>656</v>
      </c>
      <c r="D19" s="36" t="s">
        <v>657</v>
      </c>
      <c r="E19" s="36" t="s">
        <v>582</v>
      </c>
      <c r="F19" s="10" t="s">
        <v>39</v>
      </c>
      <c r="G19" s="34" t="s">
        <v>32</v>
      </c>
      <c r="H19" s="134" t="s">
        <v>40</v>
      </c>
      <c r="I19" s="118" t="s">
        <v>658</v>
      </c>
      <c r="J19" s="62"/>
      <c r="K19" s="74"/>
    </row>
    <row r="20" ht="24.75" customHeight="1">
      <c r="A20" s="126" t="s">
        <v>659</v>
      </c>
      <c r="B20" s="50" t="s">
        <v>660</v>
      </c>
      <c r="C20" s="50" t="s">
        <v>661</v>
      </c>
      <c r="D20" s="120" t="s">
        <v>662</v>
      </c>
      <c r="E20" s="36" t="s">
        <v>582</v>
      </c>
      <c r="F20" s="10" t="s">
        <v>39</v>
      </c>
      <c r="G20" s="34" t="s">
        <v>32</v>
      </c>
      <c r="H20" s="127" t="s">
        <v>40</v>
      </c>
      <c r="I20" s="118" t="s">
        <v>583</v>
      </c>
      <c r="J20" s="40"/>
      <c r="K20" s="45"/>
    </row>
    <row r="21" ht="24.75" customHeight="1">
      <c r="A21" s="89" t="s">
        <v>663</v>
      </c>
      <c r="B21" s="60" t="s">
        <v>664</v>
      </c>
      <c r="C21" s="61"/>
      <c r="D21" s="62"/>
      <c r="E21" s="60" t="s">
        <v>582</v>
      </c>
      <c r="F21" s="135" t="s">
        <v>31</v>
      </c>
      <c r="G21" s="34" t="s">
        <v>32</v>
      </c>
      <c r="H21" s="136" t="s">
        <v>138</v>
      </c>
      <c r="I21" s="137"/>
      <c r="J21" s="62"/>
      <c r="K21" s="74"/>
    </row>
    <row r="22" ht="24.75" customHeight="1">
      <c r="A22" s="126" t="s">
        <v>665</v>
      </c>
      <c r="B22" s="50" t="s">
        <v>666</v>
      </c>
      <c r="C22" s="50" t="s">
        <v>667</v>
      </c>
      <c r="D22" s="120" t="s">
        <v>668</v>
      </c>
      <c r="E22" s="36" t="s">
        <v>582</v>
      </c>
      <c r="F22" s="10" t="s">
        <v>39</v>
      </c>
      <c r="G22" s="34" t="s">
        <v>32</v>
      </c>
      <c r="H22" s="127" t="s">
        <v>40</v>
      </c>
      <c r="I22" s="122" t="s">
        <v>669</v>
      </c>
      <c r="J22" s="40"/>
      <c r="K22" s="69"/>
    </row>
    <row r="23" ht="24.75" customHeight="1">
      <c r="A23" s="89" t="s">
        <v>670</v>
      </c>
      <c r="B23" s="60" t="s">
        <v>671</v>
      </c>
      <c r="C23" s="131" t="s">
        <v>672</v>
      </c>
      <c r="D23" s="36" t="s">
        <v>673</v>
      </c>
      <c r="E23" s="36" t="s">
        <v>582</v>
      </c>
      <c r="F23" s="10" t="s">
        <v>39</v>
      </c>
      <c r="G23" s="34" t="s">
        <v>32</v>
      </c>
      <c r="H23" s="132" t="s">
        <v>40</v>
      </c>
      <c r="I23" s="118" t="s">
        <v>612</v>
      </c>
      <c r="J23" s="61"/>
      <c r="K23" s="66"/>
    </row>
    <row r="24" ht="24.75" customHeight="1">
      <c r="A24" s="119" t="s">
        <v>674</v>
      </c>
      <c r="B24" s="71" t="s">
        <v>675</v>
      </c>
      <c r="C24" s="129" t="s">
        <v>676</v>
      </c>
      <c r="D24" s="120" t="s">
        <v>677</v>
      </c>
      <c r="E24" s="36" t="s">
        <v>582</v>
      </c>
      <c r="F24" s="10" t="s">
        <v>39</v>
      </c>
      <c r="G24" s="34" t="s">
        <v>32</v>
      </c>
      <c r="H24" s="130" t="s">
        <v>40</v>
      </c>
      <c r="I24" s="118" t="s">
        <v>617</v>
      </c>
      <c r="J24" s="54"/>
      <c r="K24" s="58"/>
    </row>
    <row r="25" ht="24.75" customHeight="1">
      <c r="A25" s="89" t="s">
        <v>678</v>
      </c>
      <c r="B25" s="60" t="s">
        <v>679</v>
      </c>
      <c r="C25" s="131" t="s">
        <v>680</v>
      </c>
      <c r="D25" s="36" t="s">
        <v>681</v>
      </c>
      <c r="E25" s="36" t="s">
        <v>582</v>
      </c>
      <c r="F25" s="10" t="s">
        <v>39</v>
      </c>
      <c r="G25" s="34" t="s">
        <v>32</v>
      </c>
      <c r="H25" s="132" t="s">
        <v>40</v>
      </c>
      <c r="I25" s="122" t="s">
        <v>682</v>
      </c>
      <c r="J25" s="61"/>
      <c r="K25" s="66"/>
    </row>
    <row r="26" ht="24.75" customHeight="1">
      <c r="A26" s="126" t="s">
        <v>683</v>
      </c>
      <c r="B26" s="50" t="s">
        <v>684</v>
      </c>
      <c r="C26" s="50" t="s">
        <v>685</v>
      </c>
      <c r="D26" s="120" t="s">
        <v>686</v>
      </c>
      <c r="E26" s="36" t="s">
        <v>582</v>
      </c>
      <c r="F26" s="10" t="s">
        <v>39</v>
      </c>
      <c r="G26" s="34" t="s">
        <v>32</v>
      </c>
      <c r="H26" s="68"/>
      <c r="I26" s="122" t="s">
        <v>626</v>
      </c>
      <c r="J26" s="40"/>
      <c r="K26" s="69"/>
    </row>
    <row r="27" ht="24.75" customHeight="1">
      <c r="A27" s="138" t="s">
        <v>687</v>
      </c>
      <c r="B27" s="60" t="s">
        <v>688</v>
      </c>
      <c r="C27" s="60" t="s">
        <v>689</v>
      </c>
      <c r="D27" s="36" t="s">
        <v>690</v>
      </c>
      <c r="E27" s="36" t="s">
        <v>582</v>
      </c>
      <c r="F27" s="10" t="s">
        <v>39</v>
      </c>
      <c r="G27" s="34" t="s">
        <v>32</v>
      </c>
      <c r="H27" s="64"/>
      <c r="I27" s="118" t="s">
        <v>583</v>
      </c>
      <c r="J27" s="61"/>
      <c r="K27" s="66"/>
    </row>
    <row r="28" ht="24.75" customHeight="1">
      <c r="A28" s="119" t="s">
        <v>691</v>
      </c>
      <c r="B28" s="71" t="s">
        <v>692</v>
      </c>
      <c r="C28" s="71" t="s">
        <v>693</v>
      </c>
      <c r="D28" s="120"/>
      <c r="E28" s="36" t="s">
        <v>582</v>
      </c>
      <c r="F28" s="10" t="s">
        <v>39</v>
      </c>
      <c r="G28" s="34" t="s">
        <v>32</v>
      </c>
      <c r="H28" s="121" t="s">
        <v>40</v>
      </c>
      <c r="I28" s="118" t="s">
        <v>583</v>
      </c>
      <c r="J28" s="54"/>
      <c r="K28" s="58"/>
    </row>
    <row r="29" ht="24.75" customHeight="1">
      <c r="A29" s="116" t="s">
        <v>694</v>
      </c>
      <c r="B29" s="36" t="s">
        <v>695</v>
      </c>
      <c r="C29" s="36" t="s">
        <v>696</v>
      </c>
      <c r="D29" s="36"/>
      <c r="E29" s="36" t="s">
        <v>582</v>
      </c>
      <c r="F29" s="10" t="s">
        <v>39</v>
      </c>
      <c r="G29" s="34" t="s">
        <v>32</v>
      </c>
      <c r="H29" s="139" t="s">
        <v>40</v>
      </c>
      <c r="I29" s="118" t="s">
        <v>588</v>
      </c>
      <c r="J29" s="31"/>
      <c r="K29" s="37"/>
    </row>
    <row r="30" ht="24.75" customHeight="1">
      <c r="A30" s="126" t="s">
        <v>697</v>
      </c>
      <c r="B30" s="50" t="s">
        <v>698</v>
      </c>
      <c r="C30" s="140" t="s">
        <v>699</v>
      </c>
      <c r="D30" s="120"/>
      <c r="E30" s="36" t="s">
        <v>582</v>
      </c>
      <c r="F30" s="10" t="s">
        <v>39</v>
      </c>
      <c r="G30" s="34" t="s">
        <v>32</v>
      </c>
      <c r="H30" s="141" t="s">
        <v>40</v>
      </c>
      <c r="I30" s="118" t="s">
        <v>612</v>
      </c>
      <c r="J30" s="44"/>
      <c r="K30" s="69"/>
    </row>
    <row r="31" ht="24.75" customHeight="1">
      <c r="A31" s="89" t="s">
        <v>700</v>
      </c>
      <c r="B31" s="60" t="s">
        <v>701</v>
      </c>
      <c r="C31" s="131" t="s">
        <v>702</v>
      </c>
      <c r="D31" s="36"/>
      <c r="E31" s="36" t="s">
        <v>582</v>
      </c>
      <c r="F31" s="10" t="s">
        <v>39</v>
      </c>
      <c r="G31" s="34" t="s">
        <v>32</v>
      </c>
      <c r="H31" s="132" t="s">
        <v>40</v>
      </c>
      <c r="I31" s="118" t="s">
        <v>703</v>
      </c>
      <c r="J31" s="61"/>
      <c r="K31" s="66"/>
    </row>
    <row r="32" ht="24.75" customHeight="1">
      <c r="A32" s="119" t="s">
        <v>704</v>
      </c>
      <c r="B32" s="71" t="s">
        <v>705</v>
      </c>
      <c r="C32" s="71" t="s">
        <v>706</v>
      </c>
      <c r="D32" s="120"/>
      <c r="E32" s="36" t="s">
        <v>582</v>
      </c>
      <c r="F32" s="10" t="s">
        <v>39</v>
      </c>
      <c r="G32" s="34" t="s">
        <v>32</v>
      </c>
      <c r="H32" s="56"/>
      <c r="I32" s="118" t="s">
        <v>707</v>
      </c>
      <c r="J32" s="54"/>
      <c r="K32" s="58"/>
    </row>
    <row r="33" ht="24.75" customHeight="1">
      <c r="A33" s="116" t="s">
        <v>708</v>
      </c>
      <c r="B33" s="36" t="s">
        <v>709</v>
      </c>
      <c r="C33" s="36" t="s">
        <v>709</v>
      </c>
      <c r="D33" s="36"/>
      <c r="E33" s="36" t="s">
        <v>582</v>
      </c>
      <c r="F33" s="10" t="s">
        <v>39</v>
      </c>
      <c r="G33" s="34" t="s">
        <v>32</v>
      </c>
      <c r="H33" s="35"/>
      <c r="I33" s="118" t="s">
        <v>710</v>
      </c>
      <c r="J33" s="32"/>
      <c r="K33" s="37"/>
    </row>
    <row r="34" ht="24.75" customHeight="1">
      <c r="A34" s="119" t="s">
        <v>711</v>
      </c>
      <c r="B34" s="71" t="s">
        <v>712</v>
      </c>
      <c r="C34" s="129" t="s">
        <v>713</v>
      </c>
      <c r="D34" s="120" t="s">
        <v>607</v>
      </c>
      <c r="E34" s="36" t="s">
        <v>582</v>
      </c>
      <c r="F34" s="10" t="s">
        <v>39</v>
      </c>
      <c r="G34" s="34" t="s">
        <v>32</v>
      </c>
      <c r="H34" s="130" t="s">
        <v>40</v>
      </c>
      <c r="I34" s="118" t="s">
        <v>583</v>
      </c>
      <c r="J34" s="54"/>
      <c r="K34" s="58"/>
    </row>
    <row r="35" ht="24.75" customHeight="1">
      <c r="A35" s="116" t="s">
        <v>714</v>
      </c>
      <c r="B35" s="36" t="s">
        <v>715</v>
      </c>
      <c r="C35" s="36" t="s">
        <v>716</v>
      </c>
      <c r="D35" s="36"/>
      <c r="E35" s="36" t="s">
        <v>582</v>
      </c>
      <c r="F35" s="10" t="s">
        <v>39</v>
      </c>
      <c r="G35" s="34" t="s">
        <v>32</v>
      </c>
      <c r="H35" s="35"/>
      <c r="I35" s="122" t="s">
        <v>588</v>
      </c>
      <c r="J35" s="32"/>
      <c r="K35" s="37"/>
    </row>
    <row r="36" ht="24.75" customHeight="1">
      <c r="A36" s="119" t="s">
        <v>717</v>
      </c>
      <c r="B36" s="71" t="s">
        <v>718</v>
      </c>
      <c r="C36" s="129" t="s">
        <v>719</v>
      </c>
      <c r="D36" s="120"/>
      <c r="E36" s="36" t="s">
        <v>582</v>
      </c>
      <c r="F36" s="10" t="s">
        <v>39</v>
      </c>
      <c r="G36" s="34" t="s">
        <v>32</v>
      </c>
      <c r="H36" s="130" t="s">
        <v>40</v>
      </c>
      <c r="I36" s="118" t="s">
        <v>720</v>
      </c>
      <c r="J36" s="54"/>
      <c r="K36" s="79"/>
    </row>
    <row r="37" ht="24.75" customHeight="1">
      <c r="A37" s="89" t="s">
        <v>721</v>
      </c>
      <c r="B37" s="60" t="s">
        <v>722</v>
      </c>
      <c r="C37" s="131" t="s">
        <v>723</v>
      </c>
      <c r="D37" s="36"/>
      <c r="E37" s="36" t="s">
        <v>582</v>
      </c>
      <c r="F37" s="10" t="s">
        <v>39</v>
      </c>
      <c r="G37" s="34" t="s">
        <v>32</v>
      </c>
      <c r="H37" s="132" t="s">
        <v>40</v>
      </c>
      <c r="I37" s="118" t="s">
        <v>658</v>
      </c>
      <c r="J37" s="61"/>
      <c r="K37" s="66"/>
    </row>
    <row r="38" ht="24.75" customHeight="1">
      <c r="A38" s="126" t="s">
        <v>724</v>
      </c>
      <c r="B38" s="50" t="s">
        <v>725</v>
      </c>
      <c r="C38" s="50" t="s">
        <v>726</v>
      </c>
      <c r="D38" s="120"/>
      <c r="E38" s="36" t="s">
        <v>582</v>
      </c>
      <c r="F38" s="10" t="s">
        <v>39</v>
      </c>
      <c r="G38" s="34" t="s">
        <v>32</v>
      </c>
      <c r="H38" s="141" t="s">
        <v>40</v>
      </c>
      <c r="I38" s="128" t="s">
        <v>727</v>
      </c>
      <c r="J38" s="44"/>
      <c r="K38" s="69"/>
    </row>
    <row r="39" ht="24.75" customHeight="1">
      <c r="A39" s="89" t="s">
        <v>728</v>
      </c>
      <c r="B39" s="60" t="s">
        <v>729</v>
      </c>
      <c r="C39" s="131" t="s">
        <v>730</v>
      </c>
      <c r="D39" s="36"/>
      <c r="E39" s="36" t="s">
        <v>582</v>
      </c>
      <c r="F39" s="10" t="s">
        <v>39</v>
      </c>
      <c r="G39" s="34" t="s">
        <v>32</v>
      </c>
      <c r="H39" s="132" t="s">
        <v>40</v>
      </c>
      <c r="I39" s="118" t="s">
        <v>95</v>
      </c>
      <c r="J39" s="61"/>
      <c r="K39" s="66"/>
    </row>
    <row r="40" ht="24.75" customHeight="1">
      <c r="A40" s="119" t="s">
        <v>731</v>
      </c>
      <c r="B40" s="71" t="s">
        <v>732</v>
      </c>
      <c r="C40" s="129" t="s">
        <v>733</v>
      </c>
      <c r="D40" s="120"/>
      <c r="E40" s="36" t="s">
        <v>582</v>
      </c>
      <c r="F40" s="10" t="s">
        <v>39</v>
      </c>
      <c r="G40" s="34" t="s">
        <v>32</v>
      </c>
      <c r="H40" s="130" t="s">
        <v>40</v>
      </c>
      <c r="I40" s="118" t="s">
        <v>734</v>
      </c>
      <c r="J40" s="54"/>
      <c r="K40" s="58"/>
    </row>
    <row r="41" ht="24.75" customHeight="1">
      <c r="A41" s="89" t="s">
        <v>735</v>
      </c>
      <c r="B41" s="60" t="s">
        <v>736</v>
      </c>
      <c r="C41" s="131" t="s">
        <v>737</v>
      </c>
      <c r="D41" s="36"/>
      <c r="E41" s="36" t="s">
        <v>582</v>
      </c>
      <c r="F41" s="10" t="s">
        <v>39</v>
      </c>
      <c r="G41" s="34" t="s">
        <v>32</v>
      </c>
      <c r="H41" s="132" t="s">
        <v>40</v>
      </c>
      <c r="I41" s="118" t="s">
        <v>734</v>
      </c>
      <c r="J41" s="61"/>
      <c r="K41" s="74"/>
    </row>
    <row r="42" ht="24.75" customHeight="1">
      <c r="A42" s="119" t="s">
        <v>738</v>
      </c>
      <c r="B42" s="71" t="s">
        <v>739</v>
      </c>
      <c r="C42" s="71" t="s">
        <v>740</v>
      </c>
      <c r="D42" s="120"/>
      <c r="E42" s="36" t="s">
        <v>582</v>
      </c>
      <c r="F42" s="10" t="s">
        <v>39</v>
      </c>
      <c r="G42" s="34" t="s">
        <v>32</v>
      </c>
      <c r="H42" s="130" t="s">
        <v>40</v>
      </c>
      <c r="I42" s="118" t="s">
        <v>707</v>
      </c>
      <c r="J42" s="53"/>
      <c r="K42" s="79"/>
    </row>
    <row r="43" ht="24.75" customHeight="1">
      <c r="A43" s="116" t="s">
        <v>741</v>
      </c>
      <c r="B43" s="36" t="s">
        <v>742</v>
      </c>
      <c r="C43" s="133" t="s">
        <v>743</v>
      </c>
      <c r="D43" s="36"/>
      <c r="E43" s="36" t="s">
        <v>582</v>
      </c>
      <c r="F43" s="10" t="s">
        <v>39</v>
      </c>
      <c r="G43" s="34" t="s">
        <v>32</v>
      </c>
      <c r="H43" s="125" t="s">
        <v>40</v>
      </c>
      <c r="I43" s="118" t="s">
        <v>612</v>
      </c>
      <c r="J43" s="32"/>
      <c r="K43" s="37"/>
    </row>
    <row r="44" ht="24.75" customHeight="1">
      <c r="A44" s="119" t="s">
        <v>744</v>
      </c>
      <c r="B44" s="71" t="s">
        <v>745</v>
      </c>
      <c r="C44" s="71" t="s">
        <v>746</v>
      </c>
      <c r="D44" s="120"/>
      <c r="E44" s="36" t="s">
        <v>582</v>
      </c>
      <c r="F44" s="10" t="s">
        <v>39</v>
      </c>
      <c r="G44" s="34" t="s">
        <v>32</v>
      </c>
      <c r="H44" s="130" t="s">
        <v>40</v>
      </c>
      <c r="I44" s="118" t="s">
        <v>583</v>
      </c>
      <c r="J44" s="53"/>
      <c r="K44" s="79"/>
    </row>
    <row r="45" ht="24.75" customHeight="1">
      <c r="A45" s="89" t="s">
        <v>747</v>
      </c>
      <c r="B45" s="60" t="s">
        <v>748</v>
      </c>
      <c r="C45" s="131" t="s">
        <v>749</v>
      </c>
      <c r="D45" s="36"/>
      <c r="E45" s="36" t="s">
        <v>582</v>
      </c>
      <c r="F45" s="10" t="s">
        <v>39</v>
      </c>
      <c r="G45" s="34" t="s">
        <v>32</v>
      </c>
      <c r="H45" s="132" t="s">
        <v>40</v>
      </c>
      <c r="I45" s="118" t="s">
        <v>583</v>
      </c>
      <c r="J45" s="61"/>
      <c r="K45" s="66"/>
    </row>
    <row r="46" ht="24.75" customHeight="1">
      <c r="A46" s="126" t="s">
        <v>750</v>
      </c>
      <c r="B46" s="50" t="s">
        <v>751</v>
      </c>
      <c r="C46" s="50" t="s">
        <v>752</v>
      </c>
      <c r="D46" s="120"/>
      <c r="E46" s="36" t="s">
        <v>582</v>
      </c>
      <c r="F46" s="10" t="s">
        <v>39</v>
      </c>
      <c r="G46" s="34" t="s">
        <v>32</v>
      </c>
      <c r="H46" s="127" t="s">
        <v>40</v>
      </c>
      <c r="I46" s="118" t="s">
        <v>753</v>
      </c>
      <c r="J46" s="40"/>
      <c r="K46" s="69"/>
    </row>
    <row r="47" ht="24.75" customHeight="1">
      <c r="A47" s="89" t="s">
        <v>754</v>
      </c>
      <c r="B47" s="60" t="s">
        <v>755</v>
      </c>
      <c r="C47" s="60" t="s">
        <v>755</v>
      </c>
      <c r="D47" s="36"/>
      <c r="E47" s="36" t="s">
        <v>582</v>
      </c>
      <c r="F47" s="10" t="s">
        <v>39</v>
      </c>
      <c r="G47" s="34" t="s">
        <v>32</v>
      </c>
      <c r="H47" s="134" t="s">
        <v>40</v>
      </c>
      <c r="I47" s="118" t="s">
        <v>756</v>
      </c>
      <c r="J47" s="61"/>
      <c r="K47" s="66"/>
    </row>
    <row r="48" ht="22.5" customHeight="1">
      <c r="A48" s="126" t="s">
        <v>757</v>
      </c>
      <c r="B48" s="50" t="s">
        <v>758</v>
      </c>
      <c r="C48" s="50" t="s">
        <v>759</v>
      </c>
      <c r="D48" s="71"/>
      <c r="E48" s="71" t="s">
        <v>582</v>
      </c>
      <c r="F48" s="142" t="s">
        <v>39</v>
      </c>
      <c r="G48" s="34" t="s">
        <v>32</v>
      </c>
      <c r="H48" s="143" t="s">
        <v>40</v>
      </c>
      <c r="I48" s="144" t="s">
        <v>626</v>
      </c>
      <c r="J48" s="44"/>
      <c r="K48" s="69"/>
    </row>
    <row r="49" ht="22.5" customHeight="1">
      <c r="A49" s="89" t="s">
        <v>760</v>
      </c>
      <c r="B49" s="60" t="s">
        <v>761</v>
      </c>
      <c r="C49" s="60" t="s">
        <v>762</v>
      </c>
      <c r="D49" s="36" t="s">
        <v>763</v>
      </c>
      <c r="E49" s="71" t="s">
        <v>582</v>
      </c>
      <c r="F49" s="10" t="s">
        <v>39</v>
      </c>
      <c r="G49" s="34" t="s">
        <v>32</v>
      </c>
      <c r="H49" s="134" t="s">
        <v>40</v>
      </c>
      <c r="I49" s="145" t="s">
        <v>588</v>
      </c>
      <c r="J49" s="62"/>
      <c r="K49" s="74"/>
    </row>
    <row r="50" ht="22.5" customHeight="1">
      <c r="A50" s="39"/>
      <c r="B50" s="40"/>
      <c r="C50" s="44"/>
      <c r="D50" s="40"/>
      <c r="E50" s="40"/>
      <c r="F50" s="41"/>
      <c r="G50" s="44"/>
      <c r="H50" s="42"/>
      <c r="I50" s="43"/>
      <c r="J50" s="40"/>
      <c r="K50" s="45"/>
    </row>
    <row r="51" ht="22.5" customHeight="1">
      <c r="A51" s="30"/>
      <c r="B51" s="31"/>
      <c r="C51" s="32"/>
      <c r="D51" s="31"/>
      <c r="E51" s="31"/>
      <c r="F51" s="47"/>
      <c r="G51" s="32"/>
      <c r="H51" s="35"/>
      <c r="I51" s="48"/>
      <c r="J51" s="32"/>
      <c r="K51" s="49"/>
    </row>
    <row r="52" ht="22.5" customHeight="1">
      <c r="A52" s="39"/>
      <c r="B52" s="40"/>
      <c r="C52" s="40"/>
      <c r="D52" s="40"/>
      <c r="E52" s="40"/>
      <c r="F52" s="67"/>
      <c r="G52" s="44"/>
      <c r="H52" s="42"/>
      <c r="I52" s="43"/>
      <c r="J52" s="44"/>
      <c r="K52" s="45"/>
    </row>
    <row r="53" ht="22.5" customHeight="1">
      <c r="A53" s="30"/>
      <c r="B53" s="31"/>
      <c r="C53" s="32"/>
      <c r="D53" s="31"/>
      <c r="E53" s="31"/>
      <c r="F53" s="81"/>
      <c r="G53" s="31"/>
      <c r="H53" s="102"/>
      <c r="I53" s="51"/>
      <c r="J53" s="32"/>
      <c r="K53" s="49"/>
    </row>
    <row r="54" ht="22.5" customHeight="1">
      <c r="A54" s="39"/>
      <c r="B54" s="40"/>
      <c r="C54" s="44"/>
      <c r="D54" s="40"/>
      <c r="E54" s="40"/>
      <c r="F54" s="41"/>
      <c r="G54" s="40"/>
      <c r="H54" s="103"/>
      <c r="I54" s="43"/>
      <c r="J54" s="44"/>
      <c r="K54" s="45"/>
    </row>
    <row r="55" ht="22.5" customHeight="1">
      <c r="A55" s="30"/>
      <c r="B55" s="31"/>
      <c r="C55" s="32"/>
      <c r="D55" s="31"/>
      <c r="E55" s="31"/>
      <c r="F55" s="81"/>
      <c r="G55" s="31"/>
      <c r="H55" s="102"/>
      <c r="I55" s="51"/>
      <c r="J55" s="32"/>
      <c r="K55" s="49"/>
    </row>
    <row r="56" ht="22.5" customHeight="1">
      <c r="A56" s="39"/>
      <c r="B56" s="40"/>
      <c r="C56" s="44"/>
      <c r="D56" s="40"/>
      <c r="E56" s="40"/>
      <c r="F56" s="41"/>
      <c r="G56" s="40"/>
      <c r="H56" s="103"/>
      <c r="I56" s="43"/>
      <c r="J56" s="44"/>
      <c r="K56" s="45"/>
    </row>
    <row r="57" ht="22.5" customHeight="1">
      <c r="A57" s="30"/>
      <c r="B57" s="31"/>
      <c r="C57" s="32"/>
      <c r="D57" s="31"/>
      <c r="E57" s="31"/>
      <c r="F57" s="81"/>
      <c r="G57" s="32"/>
      <c r="H57" s="35"/>
      <c r="I57" s="51"/>
      <c r="J57" s="32"/>
      <c r="K57" s="49"/>
    </row>
    <row r="58" ht="22.5" customHeight="1">
      <c r="A58" s="39"/>
      <c r="B58" s="40"/>
      <c r="C58" s="40"/>
      <c r="D58" s="40"/>
      <c r="E58" s="40"/>
      <c r="F58" s="41"/>
      <c r="G58" s="44"/>
      <c r="H58" s="42"/>
      <c r="I58" s="43"/>
      <c r="J58" s="44"/>
      <c r="K58" s="45"/>
    </row>
    <row r="59" ht="22.5" customHeight="1">
      <c r="A59" s="30"/>
      <c r="B59" s="31"/>
      <c r="C59" s="32"/>
      <c r="D59" s="31"/>
      <c r="E59" s="31"/>
      <c r="F59" s="18"/>
      <c r="G59" s="146"/>
      <c r="H59" s="96"/>
      <c r="I59" s="51"/>
      <c r="J59" s="31"/>
      <c r="K59" s="37"/>
    </row>
    <row r="60" ht="22.5" customHeight="1">
      <c r="A60" s="39"/>
      <c r="B60" s="40"/>
      <c r="C60" s="40"/>
      <c r="D60" s="40"/>
      <c r="E60" s="40"/>
      <c r="F60" s="41"/>
      <c r="G60" s="44"/>
      <c r="H60" s="42"/>
      <c r="I60" s="43"/>
      <c r="J60" s="44"/>
      <c r="K60" s="45"/>
    </row>
    <row r="61" ht="22.5" customHeight="1">
      <c r="A61" s="30"/>
      <c r="B61" s="31"/>
      <c r="C61" s="32"/>
      <c r="D61" s="31"/>
      <c r="E61" s="31"/>
      <c r="F61" s="81"/>
      <c r="G61" s="32"/>
      <c r="H61" s="35"/>
      <c r="I61" s="51"/>
      <c r="J61" s="32"/>
      <c r="K61" s="49"/>
    </row>
  </sheetData>
  <dataValidations>
    <dataValidation type="list" allowBlank="1" sqref="F2:F61">
      <formula1>"Publicado,Prioritario,Modificar,Por hacer,Ampliar,Eliminar"</formula1>
    </dataValidation>
    <dataValidation type="list" allowBlank="1" sqref="H2:H61">
      <formula1>"Sanjay,Manuela,Belén,Mateo,Catalina,David,Nicolás"</formula1>
    </dataValidation>
    <dataValidation type="list" allowBlank="1" sqref="I2:I61">
      <formula1>"Dispositivos,Términos del mundo virtual,Seguridad e identificación,Redes y conexiones,Almacenamiento,Programas y aplicaciones,Funcionamiento del computador"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27.75"/>
    <col customWidth="1" min="3" max="3" width="29.88"/>
    <col customWidth="1" min="4" max="4" width="17.13"/>
    <col customWidth="1" min="5" max="5" width="18.38"/>
    <col customWidth="1" min="6" max="6" width="17.38"/>
    <col customWidth="1" min="7" max="7" width="17.75"/>
    <col customWidth="1" min="8" max="8" width="26.38"/>
    <col customWidth="1" min="9" max="9" width="18.13"/>
    <col customWidth="1" min="10" max="10" width="24.88"/>
    <col customWidth="1" min="11" max="11" width="22.88"/>
    <col customWidth="1" min="12" max="12" width="19.13"/>
  </cols>
  <sheetData>
    <row r="1" ht="22.5" customHeight="1">
      <c r="A1" s="29" t="s">
        <v>0</v>
      </c>
      <c r="B1" s="29" t="s">
        <v>1</v>
      </c>
      <c r="C1" s="29" t="s">
        <v>2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13</v>
      </c>
      <c r="J1" s="29" t="s">
        <v>14</v>
      </c>
      <c r="K1" s="29" t="s">
        <v>15</v>
      </c>
      <c r="L1" s="147" t="s">
        <v>764</v>
      </c>
    </row>
    <row r="2" ht="24.75" customHeight="1">
      <c r="A2" s="119" t="s">
        <v>765</v>
      </c>
      <c r="B2" s="36" t="s">
        <v>766</v>
      </c>
      <c r="C2" s="36" t="s">
        <v>767</v>
      </c>
      <c r="D2" s="36" t="s">
        <v>768</v>
      </c>
      <c r="E2" s="10" t="s">
        <v>39</v>
      </c>
      <c r="F2" s="148" t="s">
        <v>32</v>
      </c>
      <c r="G2" s="122"/>
      <c r="H2" s="122" t="s">
        <v>769</v>
      </c>
      <c r="I2" s="149" t="s">
        <v>215</v>
      </c>
      <c r="J2" s="32"/>
      <c r="K2" s="37"/>
      <c r="L2" s="150"/>
    </row>
    <row r="3" ht="24.75" customHeight="1">
      <c r="A3" s="119" t="s">
        <v>770</v>
      </c>
      <c r="B3" s="71" t="s">
        <v>771</v>
      </c>
      <c r="C3" s="71" t="s">
        <v>772</v>
      </c>
      <c r="D3" s="36" t="s">
        <v>768</v>
      </c>
      <c r="E3" s="10" t="s">
        <v>39</v>
      </c>
      <c r="F3" s="148" t="s">
        <v>32</v>
      </c>
      <c r="G3" s="122"/>
      <c r="H3" s="122" t="s">
        <v>769</v>
      </c>
      <c r="I3" s="149" t="s">
        <v>215</v>
      </c>
      <c r="J3" s="53"/>
      <c r="K3" s="58"/>
      <c r="L3" s="150"/>
    </row>
    <row r="4" ht="24.75" customHeight="1">
      <c r="A4" s="89" t="s">
        <v>773</v>
      </c>
      <c r="B4" s="60" t="s">
        <v>774</v>
      </c>
      <c r="C4" s="60" t="s">
        <v>775</v>
      </c>
      <c r="D4" s="36" t="s">
        <v>768</v>
      </c>
      <c r="E4" s="10" t="s">
        <v>39</v>
      </c>
      <c r="F4" s="148" t="s">
        <v>32</v>
      </c>
      <c r="G4" s="122"/>
      <c r="H4" s="122" t="s">
        <v>769</v>
      </c>
      <c r="I4" s="149" t="s">
        <v>215</v>
      </c>
      <c r="J4" s="62"/>
      <c r="K4" s="74"/>
      <c r="L4" s="150"/>
    </row>
    <row r="5" ht="24.75" customHeight="1">
      <c r="A5" s="119" t="s">
        <v>776</v>
      </c>
      <c r="B5" s="71" t="s">
        <v>777</v>
      </c>
      <c r="C5" s="71" t="s">
        <v>778</v>
      </c>
      <c r="D5" s="36" t="s">
        <v>768</v>
      </c>
      <c r="E5" s="10" t="s">
        <v>39</v>
      </c>
      <c r="F5" s="148" t="s">
        <v>32</v>
      </c>
      <c r="G5" s="122"/>
      <c r="H5" s="122" t="s">
        <v>769</v>
      </c>
      <c r="I5" s="149" t="s">
        <v>215</v>
      </c>
      <c r="J5" s="54"/>
      <c r="K5" s="58"/>
      <c r="L5" s="150"/>
    </row>
    <row r="6" ht="24.75" customHeight="1">
      <c r="A6" s="116" t="s">
        <v>779</v>
      </c>
      <c r="B6" s="36" t="s">
        <v>780</v>
      </c>
      <c r="C6" s="34" t="s">
        <v>781</v>
      </c>
      <c r="D6" s="36" t="s">
        <v>768</v>
      </c>
      <c r="E6" s="10" t="s">
        <v>39</v>
      </c>
      <c r="F6" s="148" t="s">
        <v>32</v>
      </c>
      <c r="G6" s="122"/>
      <c r="H6" s="122" t="s">
        <v>769</v>
      </c>
      <c r="I6" s="149" t="s">
        <v>215</v>
      </c>
      <c r="J6" s="32"/>
      <c r="K6" s="37"/>
      <c r="L6" s="150"/>
    </row>
    <row r="7" ht="24.75" customHeight="1">
      <c r="A7" s="119" t="s">
        <v>782</v>
      </c>
      <c r="B7" s="71" t="s">
        <v>783</v>
      </c>
      <c r="C7" s="71" t="s">
        <v>784</v>
      </c>
      <c r="D7" s="36" t="s">
        <v>768</v>
      </c>
      <c r="E7" s="10" t="s">
        <v>39</v>
      </c>
      <c r="F7" s="148" t="s">
        <v>32</v>
      </c>
      <c r="G7" s="122"/>
      <c r="H7" s="122" t="s">
        <v>769</v>
      </c>
      <c r="I7" s="149" t="s">
        <v>215</v>
      </c>
      <c r="J7" s="54"/>
      <c r="K7" s="58"/>
      <c r="L7" s="151">
        <v>46046.0</v>
      </c>
    </row>
    <row r="8" ht="24.75" customHeight="1">
      <c r="A8" s="89" t="s">
        <v>785</v>
      </c>
      <c r="B8" s="60" t="s">
        <v>786</v>
      </c>
      <c r="C8" s="60" t="s">
        <v>787</v>
      </c>
      <c r="D8" s="36" t="s">
        <v>768</v>
      </c>
      <c r="E8" s="10" t="s">
        <v>39</v>
      </c>
      <c r="F8" s="148" t="s">
        <v>32</v>
      </c>
      <c r="G8" s="122"/>
      <c r="H8" s="122" t="s">
        <v>769</v>
      </c>
      <c r="I8" s="149" t="s">
        <v>215</v>
      </c>
      <c r="J8" s="62"/>
      <c r="K8" s="66"/>
      <c r="L8" s="151">
        <v>46046.0</v>
      </c>
    </row>
    <row r="9" ht="24.75" customHeight="1">
      <c r="A9" s="126" t="s">
        <v>788</v>
      </c>
      <c r="B9" s="50" t="s">
        <v>789</v>
      </c>
      <c r="C9" s="50" t="s">
        <v>790</v>
      </c>
      <c r="D9" s="36" t="s">
        <v>768</v>
      </c>
      <c r="E9" s="10" t="s">
        <v>39</v>
      </c>
      <c r="F9" s="148" t="s">
        <v>32</v>
      </c>
      <c r="G9" s="122"/>
      <c r="H9" s="122" t="s">
        <v>769</v>
      </c>
      <c r="I9" s="149" t="s">
        <v>215</v>
      </c>
      <c r="J9" s="40"/>
      <c r="K9" s="69"/>
      <c r="L9" s="150"/>
    </row>
    <row r="10" ht="24.75" customHeight="1">
      <c r="A10" s="119" t="s">
        <v>791</v>
      </c>
      <c r="B10" s="71" t="s">
        <v>792</v>
      </c>
      <c r="C10" s="71" t="s">
        <v>793</v>
      </c>
      <c r="D10" s="36" t="s">
        <v>768</v>
      </c>
      <c r="E10" s="10" t="s">
        <v>39</v>
      </c>
      <c r="F10" s="148" t="s">
        <v>32</v>
      </c>
      <c r="G10" s="122"/>
      <c r="H10" s="122" t="s">
        <v>769</v>
      </c>
      <c r="I10" s="149" t="s">
        <v>215</v>
      </c>
      <c r="J10" s="54"/>
      <c r="K10" s="58"/>
      <c r="L10" s="150"/>
    </row>
    <row r="11" ht="24.75" customHeight="1">
      <c r="A11" s="89" t="s">
        <v>794</v>
      </c>
      <c r="B11" s="60" t="s">
        <v>795</v>
      </c>
      <c r="C11" s="60" t="s">
        <v>796</v>
      </c>
      <c r="D11" s="36" t="s">
        <v>768</v>
      </c>
      <c r="E11" s="10" t="s">
        <v>39</v>
      </c>
      <c r="F11" s="148" t="s">
        <v>32</v>
      </c>
      <c r="G11" s="122"/>
      <c r="H11" s="122" t="s">
        <v>769</v>
      </c>
      <c r="I11" s="149" t="s">
        <v>215</v>
      </c>
      <c r="J11" s="62"/>
      <c r="K11" s="74"/>
      <c r="L11" s="150"/>
    </row>
    <row r="12" ht="24.75" customHeight="1">
      <c r="A12" s="126" t="s">
        <v>797</v>
      </c>
      <c r="B12" s="50" t="s">
        <v>798</v>
      </c>
      <c r="C12" s="152" t="s">
        <v>799</v>
      </c>
      <c r="D12" s="36" t="s">
        <v>768</v>
      </c>
      <c r="E12" s="10" t="s">
        <v>39</v>
      </c>
      <c r="F12" s="148" t="s">
        <v>32</v>
      </c>
      <c r="G12" s="122"/>
      <c r="H12" s="122" t="s">
        <v>769</v>
      </c>
      <c r="I12" s="149" t="s">
        <v>215</v>
      </c>
      <c r="J12" s="44"/>
      <c r="K12" s="69"/>
      <c r="L12" s="150"/>
    </row>
    <row r="13" ht="24.75" customHeight="1">
      <c r="A13" s="116" t="s">
        <v>800</v>
      </c>
      <c r="B13" s="36" t="s">
        <v>801</v>
      </c>
      <c r="C13" s="36" t="s">
        <v>802</v>
      </c>
      <c r="D13" s="36" t="s">
        <v>768</v>
      </c>
      <c r="E13" s="10" t="s">
        <v>39</v>
      </c>
      <c r="F13" s="148" t="s">
        <v>32</v>
      </c>
      <c r="G13" s="122"/>
      <c r="H13" s="122" t="s">
        <v>769</v>
      </c>
      <c r="I13" s="149" t="s">
        <v>215</v>
      </c>
      <c r="J13" s="32"/>
      <c r="K13" s="37"/>
      <c r="L13" s="150"/>
    </row>
    <row r="14" ht="24.75" customHeight="1">
      <c r="A14" s="119" t="s">
        <v>803</v>
      </c>
      <c r="B14" s="71" t="s">
        <v>804</v>
      </c>
      <c r="C14" s="153" t="s">
        <v>805</v>
      </c>
      <c r="D14" s="36" t="s">
        <v>768</v>
      </c>
      <c r="E14" s="10" t="s">
        <v>39</v>
      </c>
      <c r="F14" s="148" t="s">
        <v>32</v>
      </c>
      <c r="G14" s="122"/>
      <c r="H14" s="122" t="s">
        <v>806</v>
      </c>
      <c r="I14" s="149" t="s">
        <v>215</v>
      </c>
      <c r="J14" s="54"/>
      <c r="K14" s="58"/>
      <c r="L14" s="150"/>
    </row>
    <row r="15" ht="24.75" customHeight="1">
      <c r="A15" s="154" t="s">
        <v>807</v>
      </c>
      <c r="B15" s="155" t="s">
        <v>808</v>
      </c>
      <c r="C15" s="34" t="s">
        <v>809</v>
      </c>
      <c r="D15" s="36" t="s">
        <v>768</v>
      </c>
      <c r="E15" s="10" t="s">
        <v>39</v>
      </c>
      <c r="F15" s="148" t="s">
        <v>32</v>
      </c>
      <c r="G15" s="156"/>
      <c r="H15" s="13" t="s">
        <v>810</v>
      </c>
      <c r="I15" s="149" t="s">
        <v>76</v>
      </c>
      <c r="J15" s="32"/>
      <c r="K15" s="37"/>
      <c r="L15" s="150"/>
    </row>
    <row r="16" ht="24.75" customHeight="1">
      <c r="A16" s="157" t="s">
        <v>811</v>
      </c>
      <c r="B16" s="50" t="s">
        <v>812</v>
      </c>
      <c r="C16" s="50" t="s">
        <v>813</v>
      </c>
      <c r="D16" s="36" t="s">
        <v>768</v>
      </c>
      <c r="E16" s="10" t="s">
        <v>39</v>
      </c>
      <c r="F16" s="148" t="s">
        <v>32</v>
      </c>
      <c r="G16" s="156"/>
      <c r="H16" s="13" t="s">
        <v>810</v>
      </c>
      <c r="I16" s="149" t="s">
        <v>76</v>
      </c>
      <c r="J16" s="40"/>
      <c r="K16" s="45"/>
      <c r="L16" s="150"/>
    </row>
    <row r="17" ht="24.75" customHeight="1">
      <c r="A17" s="89" t="s">
        <v>814</v>
      </c>
      <c r="B17" s="60" t="s">
        <v>815</v>
      </c>
      <c r="C17" s="158" t="s">
        <v>816</v>
      </c>
      <c r="D17" s="36" t="s">
        <v>768</v>
      </c>
      <c r="E17" s="10" t="s">
        <v>39</v>
      </c>
      <c r="F17" s="148" t="s">
        <v>32</v>
      </c>
      <c r="G17" s="156"/>
      <c r="H17" s="13" t="s">
        <v>810</v>
      </c>
      <c r="I17" s="149" t="s">
        <v>76</v>
      </c>
      <c r="J17" s="61"/>
      <c r="K17" s="66"/>
      <c r="L17" s="150"/>
    </row>
    <row r="18" ht="24.75" customHeight="1">
      <c r="A18" s="159" t="s">
        <v>817</v>
      </c>
      <c r="B18" s="50" t="s">
        <v>818</v>
      </c>
      <c r="C18" s="50" t="s">
        <v>819</v>
      </c>
      <c r="D18" s="36" t="s">
        <v>768</v>
      </c>
      <c r="E18" s="10" t="s">
        <v>39</v>
      </c>
      <c r="F18" s="148" t="s">
        <v>32</v>
      </c>
      <c r="G18" s="156"/>
      <c r="H18" s="13" t="s">
        <v>810</v>
      </c>
      <c r="I18" s="149" t="s">
        <v>76</v>
      </c>
      <c r="J18" s="44"/>
      <c r="K18" s="69"/>
      <c r="L18" s="150"/>
    </row>
    <row r="19" ht="24.75" customHeight="1">
      <c r="A19" s="116" t="s">
        <v>820</v>
      </c>
      <c r="B19" s="36" t="s">
        <v>821</v>
      </c>
      <c r="C19" s="36" t="s">
        <v>822</v>
      </c>
      <c r="D19" s="36" t="s">
        <v>768</v>
      </c>
      <c r="E19" s="10" t="s">
        <v>39</v>
      </c>
      <c r="F19" s="148" t="s">
        <v>32</v>
      </c>
      <c r="G19" s="156"/>
      <c r="H19" s="13" t="s">
        <v>810</v>
      </c>
      <c r="I19" s="149" t="s">
        <v>76</v>
      </c>
      <c r="J19" s="31"/>
      <c r="K19" s="160" t="s">
        <v>823</v>
      </c>
      <c r="L19" s="150"/>
    </row>
    <row r="20" ht="24.75" customHeight="1">
      <c r="A20" s="126" t="s">
        <v>824</v>
      </c>
      <c r="B20" s="50" t="s">
        <v>825</v>
      </c>
      <c r="C20" s="152" t="s">
        <v>826</v>
      </c>
      <c r="D20" s="36" t="s">
        <v>768</v>
      </c>
      <c r="E20" s="10" t="s">
        <v>39</v>
      </c>
      <c r="F20" s="148" t="s">
        <v>32</v>
      </c>
      <c r="G20" s="156"/>
      <c r="H20" s="13" t="s">
        <v>810</v>
      </c>
      <c r="I20" s="161" t="s">
        <v>186</v>
      </c>
      <c r="J20" s="44"/>
      <c r="K20" s="45"/>
      <c r="L20" s="150"/>
    </row>
    <row r="21" ht="24.75" customHeight="1">
      <c r="A21" s="116" t="s">
        <v>827</v>
      </c>
      <c r="B21" s="36" t="s">
        <v>828</v>
      </c>
      <c r="C21" s="34" t="s">
        <v>829</v>
      </c>
      <c r="D21" s="36" t="s">
        <v>768</v>
      </c>
      <c r="E21" s="10" t="s">
        <v>39</v>
      </c>
      <c r="F21" s="148" t="s">
        <v>32</v>
      </c>
      <c r="G21" s="156"/>
      <c r="H21" s="13" t="s">
        <v>810</v>
      </c>
      <c r="I21" s="161" t="s">
        <v>186</v>
      </c>
      <c r="J21" s="32"/>
      <c r="K21" s="37"/>
      <c r="L21" s="150"/>
    </row>
    <row r="22" ht="24.75" customHeight="1">
      <c r="A22" s="126" t="s">
        <v>830</v>
      </c>
      <c r="B22" s="50" t="s">
        <v>831</v>
      </c>
      <c r="C22" s="50" t="s">
        <v>832</v>
      </c>
      <c r="D22" s="36" t="s">
        <v>768</v>
      </c>
      <c r="E22" s="10" t="s">
        <v>39</v>
      </c>
      <c r="F22" s="148" t="s">
        <v>32</v>
      </c>
      <c r="G22" s="156"/>
      <c r="H22" s="13" t="s">
        <v>810</v>
      </c>
      <c r="I22" s="161" t="s">
        <v>186</v>
      </c>
      <c r="J22" s="44"/>
      <c r="K22" s="69"/>
      <c r="L22" s="150"/>
    </row>
    <row r="23" ht="24.75" customHeight="1">
      <c r="A23" s="89" t="s">
        <v>833</v>
      </c>
      <c r="B23" s="60" t="s">
        <v>834</v>
      </c>
      <c r="C23" s="60" t="s">
        <v>835</v>
      </c>
      <c r="D23" s="36" t="s">
        <v>768</v>
      </c>
      <c r="E23" s="10" t="s">
        <v>39</v>
      </c>
      <c r="F23" s="148" t="s">
        <v>32</v>
      </c>
      <c r="G23" s="156"/>
      <c r="H23" s="13" t="s">
        <v>810</v>
      </c>
      <c r="I23" s="162" t="s">
        <v>57</v>
      </c>
      <c r="J23" s="62"/>
      <c r="K23" s="66"/>
      <c r="L23" s="150"/>
    </row>
    <row r="24" ht="24.75" customHeight="1">
      <c r="A24" s="163" t="s">
        <v>836</v>
      </c>
      <c r="B24" s="164" t="s">
        <v>837</v>
      </c>
      <c r="C24" s="34" t="s">
        <v>809</v>
      </c>
      <c r="D24" s="36" t="s">
        <v>768</v>
      </c>
      <c r="E24" s="10" t="s">
        <v>39</v>
      </c>
      <c r="F24" s="148" t="s">
        <v>32</v>
      </c>
      <c r="G24" s="122"/>
      <c r="H24" s="122" t="s">
        <v>810</v>
      </c>
      <c r="I24" s="149" t="s">
        <v>57</v>
      </c>
      <c r="J24" s="54"/>
      <c r="K24" s="58"/>
      <c r="L24" s="150"/>
    </row>
    <row r="25" ht="24.75" customHeight="1">
      <c r="A25" s="116" t="s">
        <v>838</v>
      </c>
      <c r="B25" s="36" t="s">
        <v>839</v>
      </c>
      <c r="C25" s="34" t="s">
        <v>840</v>
      </c>
      <c r="D25" s="36" t="s">
        <v>768</v>
      </c>
      <c r="E25" s="10" t="s">
        <v>39</v>
      </c>
      <c r="F25" s="148" t="s">
        <v>32</v>
      </c>
      <c r="G25" s="122"/>
      <c r="H25" s="122" t="s">
        <v>806</v>
      </c>
      <c r="I25" s="149" t="s">
        <v>215</v>
      </c>
      <c r="J25" s="32"/>
      <c r="K25" s="49"/>
      <c r="L25" s="150"/>
    </row>
    <row r="26" ht="24.75" customHeight="1">
      <c r="A26" s="116" t="s">
        <v>841</v>
      </c>
      <c r="B26" s="71" t="s">
        <v>842</v>
      </c>
      <c r="C26" s="34" t="s">
        <v>843</v>
      </c>
      <c r="D26" s="36" t="s">
        <v>768</v>
      </c>
      <c r="E26" s="10" t="s">
        <v>39</v>
      </c>
      <c r="F26" s="148" t="s">
        <v>32</v>
      </c>
      <c r="G26" s="122"/>
      <c r="H26" s="122" t="s">
        <v>806</v>
      </c>
      <c r="I26" s="165" t="s">
        <v>215</v>
      </c>
      <c r="J26" s="53"/>
      <c r="K26" s="79"/>
      <c r="L26" s="150"/>
    </row>
    <row r="27" ht="24.75" customHeight="1">
      <c r="A27" s="116" t="s">
        <v>844</v>
      </c>
      <c r="B27" s="36" t="s">
        <v>845</v>
      </c>
      <c r="C27" s="36" t="s">
        <v>846</v>
      </c>
      <c r="D27" s="36" t="s">
        <v>768</v>
      </c>
      <c r="E27" s="10" t="s">
        <v>39</v>
      </c>
      <c r="F27" s="148" t="s">
        <v>32</v>
      </c>
      <c r="G27" s="118"/>
      <c r="H27" s="118"/>
      <c r="I27" s="165" t="s">
        <v>186</v>
      </c>
      <c r="J27" s="31"/>
      <c r="K27" s="37"/>
      <c r="L27" s="150"/>
    </row>
    <row r="28" ht="24.75" customHeight="1">
      <c r="A28" s="119"/>
      <c r="B28" s="71"/>
      <c r="C28" s="71"/>
      <c r="D28" s="36"/>
      <c r="E28" s="10"/>
      <c r="F28" s="148"/>
      <c r="G28" s="122"/>
      <c r="H28" s="122"/>
      <c r="I28" s="110"/>
      <c r="J28" s="54"/>
      <c r="K28" s="58"/>
      <c r="L28" s="150"/>
    </row>
    <row r="29" ht="24.75" customHeight="1">
      <c r="A29" s="116"/>
      <c r="B29" s="36"/>
      <c r="C29" s="133"/>
      <c r="D29" s="36"/>
      <c r="E29" s="10"/>
      <c r="F29" s="148"/>
      <c r="G29" s="118"/>
      <c r="H29" s="118"/>
      <c r="I29" s="110"/>
      <c r="J29" s="32"/>
      <c r="K29" s="37"/>
      <c r="L29" s="150"/>
    </row>
    <row r="30" ht="24.75" customHeight="1">
      <c r="A30" s="126"/>
      <c r="B30" s="50"/>
      <c r="C30" s="50"/>
      <c r="D30" s="36"/>
      <c r="E30" s="10"/>
      <c r="F30" s="148"/>
      <c r="G30" s="118"/>
      <c r="H30" s="118"/>
      <c r="I30" s="166"/>
      <c r="J30" s="40"/>
      <c r="K30" s="69"/>
      <c r="L30" s="150"/>
    </row>
    <row r="31" ht="24.75" customHeight="1">
      <c r="A31" s="89"/>
      <c r="B31" s="60"/>
      <c r="C31" s="131"/>
      <c r="D31" s="36"/>
      <c r="E31" s="10"/>
      <c r="F31" s="148"/>
      <c r="G31" s="118"/>
      <c r="H31" s="118"/>
      <c r="I31" s="167"/>
      <c r="J31" s="61"/>
      <c r="K31" s="66"/>
      <c r="L31" s="150"/>
    </row>
    <row r="32" ht="24.75" customHeight="1">
      <c r="A32" s="126"/>
      <c r="B32" s="50"/>
      <c r="C32" s="140"/>
      <c r="D32" s="36"/>
      <c r="E32" s="10"/>
      <c r="F32" s="148"/>
      <c r="G32" s="118"/>
      <c r="H32" s="118"/>
      <c r="I32" s="167"/>
      <c r="J32" s="44"/>
      <c r="K32" s="69"/>
      <c r="L32" s="150"/>
    </row>
    <row r="33" ht="24.75" customHeight="1">
      <c r="A33" s="116"/>
      <c r="B33" s="36"/>
      <c r="C33" s="133"/>
      <c r="D33" s="36"/>
      <c r="E33" s="10"/>
      <c r="F33" s="148"/>
      <c r="G33" s="118"/>
      <c r="H33" s="118"/>
      <c r="I33" s="110"/>
      <c r="J33" s="32"/>
      <c r="K33" s="37"/>
      <c r="L33" s="150"/>
    </row>
    <row r="34" ht="24.75" customHeight="1">
      <c r="A34" s="119"/>
      <c r="B34" s="71"/>
      <c r="C34" s="71"/>
      <c r="D34" s="36"/>
      <c r="E34" s="10"/>
      <c r="F34" s="148"/>
      <c r="G34" s="118"/>
      <c r="H34" s="118"/>
      <c r="I34" s="110"/>
      <c r="J34" s="54"/>
      <c r="K34" s="58"/>
      <c r="L34" s="150"/>
    </row>
    <row r="35" ht="24.75" customHeight="1">
      <c r="A35" s="116"/>
      <c r="B35" s="36"/>
      <c r="C35" s="36"/>
      <c r="D35" s="36"/>
      <c r="E35" s="10"/>
      <c r="F35" s="148"/>
      <c r="G35" s="118"/>
      <c r="H35" s="118"/>
      <c r="I35" s="168"/>
      <c r="J35" s="31"/>
      <c r="K35" s="49"/>
      <c r="L35" s="150"/>
    </row>
    <row r="36" ht="24.75" customHeight="1">
      <c r="A36" s="119"/>
      <c r="B36" s="71"/>
      <c r="C36" s="129"/>
      <c r="D36" s="36"/>
      <c r="E36" s="10"/>
      <c r="F36" s="148"/>
      <c r="G36" s="118"/>
      <c r="H36" s="118"/>
      <c r="I36" s="110"/>
      <c r="J36" s="54"/>
      <c r="K36" s="79"/>
      <c r="L36" s="150"/>
    </row>
    <row r="37" ht="24.75" customHeight="1">
      <c r="A37" s="89"/>
      <c r="B37" s="60"/>
      <c r="C37" s="131"/>
      <c r="D37" s="36"/>
      <c r="E37" s="10"/>
      <c r="F37" s="148"/>
      <c r="G37" s="118"/>
      <c r="H37" s="118"/>
      <c r="I37" s="167"/>
      <c r="J37" s="61"/>
      <c r="K37" s="66"/>
      <c r="L37" s="150"/>
    </row>
    <row r="38" ht="24.75" customHeight="1">
      <c r="A38" s="119"/>
      <c r="B38" s="71"/>
      <c r="C38" s="129"/>
      <c r="D38" s="36"/>
      <c r="E38" s="10"/>
      <c r="F38" s="148"/>
      <c r="G38" s="118"/>
      <c r="H38" s="118"/>
      <c r="I38" s="110"/>
      <c r="J38" s="54"/>
      <c r="K38" s="79"/>
      <c r="L38" s="150"/>
    </row>
    <row r="39" ht="24.75" customHeight="1">
      <c r="A39" s="89"/>
      <c r="B39" s="60"/>
      <c r="C39" s="131"/>
      <c r="D39" s="36"/>
      <c r="E39" s="10"/>
      <c r="F39" s="148"/>
      <c r="G39" s="118"/>
      <c r="H39" s="118"/>
      <c r="I39" s="167"/>
      <c r="J39" s="61"/>
      <c r="K39" s="66"/>
      <c r="L39" s="150"/>
    </row>
    <row r="40" ht="24.75" customHeight="1">
      <c r="A40" s="126"/>
      <c r="B40" s="50"/>
      <c r="C40" s="140"/>
      <c r="D40" s="36"/>
      <c r="E40" s="10"/>
      <c r="F40" s="148"/>
      <c r="G40" s="118"/>
      <c r="H40" s="118"/>
      <c r="I40" s="167"/>
      <c r="J40" s="44"/>
      <c r="K40" s="69"/>
      <c r="L40" s="150"/>
    </row>
    <row r="41" ht="24.75" customHeight="1">
      <c r="A41" s="89"/>
      <c r="B41" s="60"/>
      <c r="C41" s="60"/>
      <c r="D41" s="36"/>
      <c r="E41" s="10"/>
      <c r="F41" s="148"/>
      <c r="G41" s="118"/>
      <c r="H41" s="128"/>
      <c r="I41" s="167"/>
      <c r="J41" s="61"/>
      <c r="K41" s="66"/>
      <c r="L41" s="150"/>
    </row>
    <row r="42" ht="24.75" customHeight="1">
      <c r="A42" s="126"/>
      <c r="B42" s="50"/>
      <c r="C42" s="50"/>
      <c r="D42" s="36"/>
      <c r="E42" s="10"/>
      <c r="F42" s="148"/>
      <c r="G42" s="118"/>
      <c r="H42" s="118"/>
      <c r="I42" s="166"/>
      <c r="J42" s="40"/>
      <c r="K42" s="45"/>
      <c r="L42" s="150"/>
    </row>
    <row r="43" ht="24.75" customHeight="1">
      <c r="A43" s="89"/>
      <c r="B43" s="60"/>
      <c r="C43" s="131"/>
      <c r="D43" s="36"/>
      <c r="E43" s="10"/>
      <c r="F43" s="148"/>
      <c r="G43" s="118"/>
      <c r="H43" s="118"/>
      <c r="I43" s="167"/>
      <c r="J43" s="61"/>
      <c r="K43" s="66"/>
      <c r="L43" s="150"/>
    </row>
    <row r="44" ht="24.75" customHeight="1">
      <c r="A44" s="119"/>
      <c r="B44" s="71"/>
      <c r="C44" s="129"/>
      <c r="D44" s="36"/>
      <c r="E44" s="10"/>
      <c r="F44" s="148"/>
      <c r="G44" s="118"/>
      <c r="H44" s="118"/>
      <c r="I44" s="110"/>
      <c r="J44" s="54"/>
      <c r="K44" s="58"/>
      <c r="L44" s="150"/>
    </row>
    <row r="45" ht="24.75" customHeight="1">
      <c r="A45" s="116"/>
      <c r="B45" s="36"/>
      <c r="C45" s="36"/>
      <c r="D45" s="36"/>
      <c r="E45" s="10"/>
      <c r="F45" s="148"/>
      <c r="G45" s="118"/>
      <c r="H45" s="118"/>
      <c r="I45" s="168"/>
      <c r="J45" s="31"/>
      <c r="K45" s="49"/>
      <c r="L45" s="150"/>
    </row>
    <row r="46" ht="24.75" customHeight="1">
      <c r="A46" s="126"/>
      <c r="B46" s="50"/>
      <c r="C46" s="50"/>
      <c r="D46" s="36"/>
      <c r="E46" s="10"/>
      <c r="F46" s="148"/>
      <c r="G46" s="118"/>
      <c r="H46" s="118"/>
      <c r="I46" s="167"/>
      <c r="J46" s="44"/>
      <c r="K46" s="69"/>
      <c r="L46" s="150"/>
    </row>
    <row r="47" ht="24.75" customHeight="1">
      <c r="A47" s="89"/>
      <c r="B47" s="60"/>
      <c r="C47" s="60"/>
      <c r="D47" s="36"/>
      <c r="E47" s="10"/>
      <c r="F47" s="148"/>
      <c r="G47" s="122"/>
      <c r="H47" s="169"/>
      <c r="I47" s="167"/>
      <c r="J47" s="61"/>
      <c r="K47" s="66"/>
      <c r="L47" s="150"/>
    </row>
    <row r="48" ht="22.5" customHeight="1">
      <c r="A48" s="39"/>
      <c r="B48" s="40"/>
      <c r="C48" s="44"/>
      <c r="D48" s="40"/>
      <c r="E48" s="41"/>
      <c r="F48" s="42"/>
      <c r="G48" s="43"/>
      <c r="H48" s="43"/>
      <c r="I48" s="103"/>
      <c r="J48" s="40"/>
      <c r="K48" s="45"/>
      <c r="L48" s="150"/>
    </row>
    <row r="49" ht="22.5" customHeight="1">
      <c r="A49" s="30"/>
      <c r="B49" s="31"/>
      <c r="C49" s="32"/>
      <c r="D49" s="31"/>
      <c r="E49" s="81"/>
      <c r="F49" s="35"/>
      <c r="G49" s="51"/>
      <c r="H49" s="51"/>
      <c r="I49" s="102"/>
      <c r="J49" s="31"/>
      <c r="K49" s="49"/>
      <c r="L49" s="150"/>
    </row>
    <row r="50" ht="22.5" customHeight="1">
      <c r="A50" s="39"/>
      <c r="B50" s="40"/>
      <c r="C50" s="44"/>
      <c r="D50" s="40"/>
      <c r="E50" s="41"/>
      <c r="F50" s="42"/>
      <c r="G50" s="43"/>
      <c r="H50" s="43"/>
      <c r="I50" s="103"/>
      <c r="J50" s="40"/>
      <c r="K50" s="45"/>
      <c r="L50" s="150"/>
    </row>
    <row r="51" ht="22.5" customHeight="1">
      <c r="A51" s="30"/>
      <c r="B51" s="31"/>
      <c r="C51" s="32"/>
      <c r="D51" s="31"/>
      <c r="E51" s="47"/>
      <c r="F51" s="35"/>
      <c r="G51" s="48"/>
      <c r="H51" s="48"/>
      <c r="I51" s="35"/>
      <c r="J51" s="32"/>
      <c r="K51" s="49"/>
      <c r="L51" s="150"/>
    </row>
    <row r="52" ht="22.5" customHeight="1">
      <c r="A52" s="39"/>
      <c r="B52" s="40"/>
      <c r="C52" s="40"/>
      <c r="D52" s="40"/>
      <c r="E52" s="67"/>
      <c r="F52" s="42"/>
      <c r="G52" s="43"/>
      <c r="H52" s="43"/>
      <c r="I52" s="42"/>
      <c r="J52" s="44"/>
      <c r="K52" s="45"/>
      <c r="L52" s="150"/>
    </row>
    <row r="53" ht="22.5" customHeight="1">
      <c r="A53" s="30"/>
      <c r="B53" s="31"/>
      <c r="C53" s="32"/>
      <c r="D53" s="31"/>
      <c r="E53" s="81"/>
      <c r="F53" s="102"/>
      <c r="G53" s="51"/>
      <c r="H53" s="51"/>
      <c r="I53" s="35"/>
      <c r="J53" s="32"/>
      <c r="K53" s="49"/>
      <c r="L53" s="150"/>
    </row>
    <row r="54" ht="22.5" customHeight="1">
      <c r="A54" s="39"/>
      <c r="B54" s="40"/>
      <c r="C54" s="44"/>
      <c r="D54" s="40"/>
      <c r="E54" s="41"/>
      <c r="F54" s="103"/>
      <c r="G54" s="43"/>
      <c r="H54" s="43"/>
      <c r="I54" s="42"/>
      <c r="J54" s="44"/>
      <c r="K54" s="45"/>
      <c r="L54" s="150"/>
    </row>
    <row r="55" ht="22.5" customHeight="1">
      <c r="A55" s="30"/>
      <c r="B55" s="31"/>
      <c r="C55" s="32"/>
      <c r="D55" s="31"/>
      <c r="E55" s="81"/>
      <c r="F55" s="102"/>
      <c r="G55" s="51"/>
      <c r="H55" s="51"/>
      <c r="I55" s="35"/>
      <c r="J55" s="32"/>
      <c r="K55" s="49"/>
      <c r="L55" s="150"/>
    </row>
    <row r="56" ht="22.5" customHeight="1">
      <c r="A56" s="39"/>
      <c r="B56" s="40"/>
      <c r="C56" s="44"/>
      <c r="D56" s="40"/>
      <c r="E56" s="41"/>
      <c r="F56" s="103"/>
      <c r="G56" s="43"/>
      <c r="H56" s="43"/>
      <c r="I56" s="42"/>
      <c r="J56" s="44"/>
      <c r="K56" s="45"/>
      <c r="L56" s="150"/>
    </row>
    <row r="57" ht="22.5" customHeight="1">
      <c r="A57" s="30"/>
      <c r="B57" s="31"/>
      <c r="C57" s="32"/>
      <c r="D57" s="31"/>
      <c r="E57" s="81"/>
      <c r="F57" s="35"/>
      <c r="G57" s="51"/>
      <c r="H57" s="51"/>
      <c r="I57" s="35"/>
      <c r="J57" s="32"/>
      <c r="K57" s="49"/>
      <c r="L57" s="150"/>
    </row>
    <row r="58" ht="22.5" customHeight="1">
      <c r="A58" s="39"/>
      <c r="B58" s="40"/>
      <c r="C58" s="40"/>
      <c r="D58" s="40"/>
      <c r="E58" s="41"/>
      <c r="F58" s="42"/>
      <c r="G58" s="43"/>
      <c r="H58" s="43"/>
      <c r="I58" s="42"/>
      <c r="J58" s="44"/>
      <c r="K58" s="45"/>
      <c r="L58" s="150"/>
    </row>
    <row r="59" ht="22.5" customHeight="1">
      <c r="A59" s="30"/>
      <c r="B59" s="31"/>
      <c r="C59" s="32"/>
      <c r="D59" s="31"/>
      <c r="E59" s="18"/>
      <c r="F59" s="96"/>
      <c r="G59" s="51"/>
      <c r="H59" s="51"/>
      <c r="I59" s="102"/>
      <c r="J59" s="31"/>
      <c r="K59" s="37"/>
      <c r="L59" s="150"/>
    </row>
    <row r="60" ht="22.5" customHeight="1">
      <c r="A60" s="39"/>
      <c r="B60" s="40"/>
      <c r="C60" s="40"/>
      <c r="D60" s="40"/>
      <c r="E60" s="41"/>
      <c r="F60" s="42"/>
      <c r="G60" s="43"/>
      <c r="H60" s="43"/>
      <c r="I60" s="42"/>
      <c r="J60" s="44"/>
      <c r="K60" s="45"/>
      <c r="L60" s="150"/>
    </row>
    <row r="61" ht="22.5" customHeight="1">
      <c r="A61" s="30"/>
      <c r="B61" s="31"/>
      <c r="C61" s="32"/>
      <c r="D61" s="31"/>
      <c r="E61" s="81"/>
      <c r="F61" s="35"/>
      <c r="G61" s="51"/>
      <c r="H61" s="51"/>
      <c r="I61" s="35"/>
      <c r="J61" s="32"/>
      <c r="K61" s="49"/>
      <c r="L61" s="150"/>
    </row>
  </sheetData>
  <dataValidations>
    <dataValidation type="list" allowBlank="1" sqref="E2:E61">
      <formula1>"Publicado,Prioritario,Modificar,Por hacer,Ampliar,Eliminar"</formula1>
    </dataValidation>
    <dataValidation type="custom" allowBlank="1" showDropDown="1" sqref="L2:L61">
      <formula1>OR(NOT(ISERROR(DATEVALUE(L2))), AND(ISNUMBER(L2), LEFT(CELL("format", L2))="D"))</formula1>
    </dataValidation>
    <dataValidation type="list" allowBlank="1" sqref="H2:H61">
      <formula1>"Cartas cacharreras,Cartas navegadoras,Cartas conectivas"</formula1>
    </dataValidation>
    <dataValidation type="list" allowBlank="1" sqref="I2:I61">
      <formula1>"Conseguir,Compartir,Mejorar,Medir"</formula1>
    </dataValidation>
    <dataValidation type="list" allowBlank="1" sqref="F2:F61">
      <formula1>"SOLE Colombia"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96.13"/>
  </cols>
  <sheetData>
    <row r="1">
      <c r="A1" s="170" t="s">
        <v>847</v>
      </c>
      <c r="B1" s="170" t="s">
        <v>848</v>
      </c>
    </row>
    <row r="2">
      <c r="A2" s="171" t="s">
        <v>849</v>
      </c>
      <c r="B2" s="172" t="s">
        <v>850</v>
      </c>
    </row>
    <row r="3">
      <c r="A3" s="173" t="s">
        <v>851</v>
      </c>
      <c r="B3" s="174" t="s">
        <v>852</v>
      </c>
    </row>
    <row r="4">
      <c r="A4" s="173" t="s">
        <v>853</v>
      </c>
      <c r="B4" s="174" t="s">
        <v>854</v>
      </c>
    </row>
    <row r="5">
      <c r="A5" s="171" t="s">
        <v>855</v>
      </c>
      <c r="B5" s="174" t="s">
        <v>856</v>
      </c>
    </row>
    <row r="6">
      <c r="A6" s="171" t="s">
        <v>857</v>
      </c>
      <c r="B6" s="175" t="s">
        <v>858</v>
      </c>
    </row>
    <row r="7">
      <c r="A7" s="173" t="s">
        <v>859</v>
      </c>
      <c r="B7" s="174" t="s">
        <v>860</v>
      </c>
    </row>
    <row r="8">
      <c r="A8" s="173" t="s">
        <v>861</v>
      </c>
      <c r="B8" s="174" t="s">
        <v>862</v>
      </c>
    </row>
    <row r="9">
      <c r="A9" s="173" t="s">
        <v>497</v>
      </c>
      <c r="B9" s="175" t="s">
        <v>863</v>
      </c>
    </row>
    <row r="10">
      <c r="A10" s="173" t="s">
        <v>864</v>
      </c>
      <c r="B10" s="174" t="s">
        <v>865</v>
      </c>
    </row>
    <row r="11">
      <c r="A11" s="173" t="s">
        <v>866</v>
      </c>
      <c r="B11" s="174" t="s">
        <v>867</v>
      </c>
    </row>
    <row r="12">
      <c r="A12" s="173" t="s">
        <v>868</v>
      </c>
      <c r="B12" s="174" t="s">
        <v>869</v>
      </c>
    </row>
    <row r="13">
      <c r="A13" s="173" t="s">
        <v>870</v>
      </c>
      <c r="B13" s="174" t="s">
        <v>871</v>
      </c>
    </row>
    <row r="14">
      <c r="A14" s="176"/>
    </row>
    <row r="15">
      <c r="A15" s="176"/>
    </row>
    <row r="16">
      <c r="A16" s="17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